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avras-chave" sheetId="1" state="visible" r:id="rId3"/>
    <sheet name="Pontuação de Ofertas" sheetId="2" state="visible" r:id="rId4"/>
    <sheet name="Parâmetr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<sst xmlns="http://schemas.openxmlformats.org/spreadsheetml/2006/main" count="105" uniqueCount="102">
  <si>
    <t xml:space="preserve">Palavras-chave para a Biblioteca de Anúncios do Facebook</t>
  </si>
  <si>
    <t xml:space="preserve">Como usar: Biblioteca de Anúncios &gt; País: Brasil &gt; Todos os anúncios &gt; cole a palavra &gt; filtre por 'Ativos' e ordene por 'Mais antigos'. Teste também variações no singular/plural.</t>
  </si>
  <si>
    <t xml:space="preserve">Tema</t>
  </si>
  <si>
    <t xml:space="preserve">Palavras-chave (busca)</t>
  </si>
  <si>
    <t xml:space="preserve">Dor do público</t>
  </si>
  <si>
    <t xml:space="preserve">Prioridade (1=alta)</t>
  </si>
  <si>
    <t xml:space="preserve">Observação de compliance</t>
  </si>
  <si>
    <t xml:space="preserve">Educação cristã infantil</t>
  </si>
  <si>
    <t xml:space="preserve">devocional infantil; devocional para crianças; culto doméstico; culto em família; histórias bíblicas para crianças; bíblia ilustrada infantil; ensinar oração aos filhos</t>
  </si>
  <si>
    <t xml:space="preserve">Pais não sabem ensinar a fé aos filhos</t>
  </si>
  <si>
    <t xml:space="preserve">Sem problema de saúde; evitar promessas de 'salvação garantida'</t>
  </si>
  <si>
    <t xml:space="preserve">Atividades bíblicas imprimíveis</t>
  </si>
  <si>
    <t xml:space="preserve">atividades bíblicas; atividades bíblicas para imprimir; escola bíblica dominical kit; lição EBD infantil; kit EBD; apostila infantil cristã</t>
  </si>
  <si>
    <t xml:space="preserve">Falta de ideias e material pronto para igreja e casa</t>
  </si>
  <si>
    <t xml:space="preserve">Verificar direitos de imagens/personagens</t>
  </si>
  <si>
    <t xml:space="preserve">Disciplina positiva cristã</t>
  </si>
  <si>
    <t xml:space="preserve">birra; criança birrenta; disciplina positiva; educar filhos sem gritar; educar filhos segundo a Bíblia; criança desobediente; limites para crianças</t>
  </si>
  <si>
    <t xml:space="preserve">Cansaço, culpa e gritos em casa</t>
  </si>
  <si>
    <t xml:space="preserve">Evitar 'cura', 'transforme seu filho em X dias' sem base</t>
  </si>
  <si>
    <t xml:space="preserve">Pack de atividades pedagógicas</t>
  </si>
  <si>
    <t xml:space="preserve">atividades para imprimir; alfabetização atividades; caderno de atividades pré-escola; atividades educação infantil; kit atividades; pack atividades infantis</t>
  </si>
  <si>
    <t xml:space="preserve">Acompanhar a escola, reduzir telas</t>
  </si>
  <si>
    <t xml:space="preserve">Atenção a direitos autorais (BNCC ok, personagens não)</t>
  </si>
  <si>
    <t xml:space="preserve">Sono do bebê e da criança</t>
  </si>
  <si>
    <t xml:space="preserve">sono do bebê; bebê não dorme; rotina de sono; método sono infantil; despertares noturnos</t>
  </si>
  <si>
    <t xml:space="preserve">Noites sem dormir, exaustão</t>
  </si>
  <si>
    <t xml:space="preserve">Saúde: evitar promessas médicas e antes/depois</t>
  </si>
  <si>
    <t xml:space="preserve">Alimentação infantil</t>
  </si>
  <si>
    <t xml:space="preserve">seletividade alimentar; criança não come; introdução alimentar; BLW; receitas para bebês; papinha</t>
  </si>
  <si>
    <t xml:space="preserve">Medo de desnutrição, mesa em conflito</t>
  </si>
  <si>
    <t xml:space="preserve">Saúde: sem promessas de cura/ganho de peso</t>
  </si>
  <si>
    <t xml:space="preserve">Desfralde</t>
  </si>
  <si>
    <t xml:space="preserve">desfralde; tirar fralda; desfralde em 3 dias; desfralde noturno</t>
  </si>
  <si>
    <t xml:space="preserve">Mãe quer rapidez e sem estresse</t>
  </si>
  <si>
    <t xml:space="preserve">'Em 3 dias' é claim forte, cuidado</t>
  </si>
  <si>
    <t xml:space="preserve">Controle de telas</t>
  </si>
  <si>
    <t xml:space="preserve">vício em telas; criança no celular; tempo de tela infantil; desintoxicação digital criança</t>
  </si>
  <si>
    <t xml:space="preserve">Culpa e preocupação com tablet/YouTube</t>
  </si>
  <si>
    <t xml:space="preserve">Sem diagnóstico</t>
  </si>
  <si>
    <t xml:space="preserve">Emocional infantil</t>
  </si>
  <si>
    <t xml:space="preserve">ansiedade infantil; criança com medo; controle emocional crianças; raiva infantil; autoestima infantil; criança sensível</t>
  </si>
  <si>
    <t xml:space="preserve">Filho sofre e pai não sabe ajudar</t>
  </si>
  <si>
    <t xml:space="preserve">Saúde mental: Meta restringe; usar linguagem educativa</t>
  </si>
  <si>
    <t xml:space="preserve">Proteção digital e espiritual</t>
  </si>
  <si>
    <t xml:space="preserve">proteger filhos na internet; segurança online crianças; pornografia infantil prevenção; educação sexual cristã; criar filhos no mundo digital</t>
  </si>
  <si>
    <t xml:space="preserve">Medo (motivador forte de compra)</t>
  </si>
  <si>
    <t xml:space="preserve">Cuidado com palavras sensíveis nos anúncios</t>
  </si>
  <si>
    <t xml:space="preserve">Maternidade cristã</t>
  </si>
  <si>
    <t xml:space="preserve">mãe cristã; maternidade cristã; oração por filhos; oração pelos filhos; devocional para mães</t>
  </si>
  <si>
    <t xml:space="preserve">Solidão, sobrecarga, culpa</t>
  </si>
  <si>
    <t xml:space="preserve">Boa para comunidade/assinatura</t>
  </si>
  <si>
    <t xml:space="preserve">Estímulo e desenvolvimento</t>
  </si>
  <si>
    <t xml:space="preserve">estimulação precoce; desenvolvimento infantil; atividades sensoriais; brincadeiras educativas bebê; montessori em casa</t>
  </si>
  <si>
    <t xml:space="preserve">Medo de 'atrasar' o desenvolvimento</t>
  </si>
  <si>
    <t xml:space="preserve">Sem promessas de QI/superdotação</t>
  </si>
  <si>
    <t xml:space="preserve">Planilha de pontuação de ofertas (minerar &gt; pontuar &gt; modelar)</t>
  </si>
  <si>
    <t xml:space="preserve">Preencha apenas as células em AZUL (colunas A a J). Pontos e total são calculados. A linha 7 é um exemplo fictício de formato; apague-a antes de usar.</t>
  </si>
  <si>
    <t xml:space="preserve">Oferta / Página</t>
  </si>
  <si>
    <t xml:space="preserve">Link do anúncio ou da página de vendas</t>
  </si>
  <si>
    <t xml:space="preserve">Dias no ar (anúncio mais antigo ativo)</t>
  </si>
  <si>
    <t xml:space="preserve">Nº de anúncios ativos</t>
  </si>
  <si>
    <t xml:space="preserve">Nº de criativos distintos</t>
  </si>
  <si>
    <t xml:space="preserve">Outras páginas com a mesma oferta</t>
  </si>
  <si>
    <t xml:space="preserve">Order bump / upsell? (Sim/Não)</t>
  </si>
  <si>
    <t xml:space="preserve">Ticket front (R$)</t>
  </si>
  <si>
    <t xml:space="preserve">Avaliação da dor (1-5)</t>
  </si>
  <si>
    <t xml:space="preserve">Pts Tempo</t>
  </si>
  <si>
    <t xml:space="preserve">Pts Volume</t>
  </si>
  <si>
    <t xml:space="preserve">Pts Criativos</t>
  </si>
  <si>
    <t xml:space="preserve">Pts Afiliados</t>
  </si>
  <si>
    <t xml:space="preserve">Pts Funil</t>
  </si>
  <si>
    <t xml:space="preserve">Pts Dor</t>
  </si>
  <si>
    <t xml:space="preserve">Nota final (0-100)</t>
  </si>
  <si>
    <t xml:space="preserve">Classificação</t>
  </si>
  <si>
    <t xml:space="preserve">EXEMPLO - Devocional Kids</t>
  </si>
  <si>
    <t xml:space="preserve">https://exemplo.com/oferta</t>
  </si>
  <si>
    <t xml:space="preserve">Sim</t>
  </si>
  <si>
    <t xml:space="preserve">Parâmetros de pontuação (edite as células azuis)</t>
  </si>
  <si>
    <t xml:space="preserve">Premissas: faixas e pesos são heurísticas minhas de mercado (não dados oficiais). Ajuste conforme o que você observar no nicho.</t>
  </si>
  <si>
    <t xml:space="preserve">Nota</t>
  </si>
  <si>
    <t xml:space="preserve">Dias no ar (mín.)</t>
  </si>
  <si>
    <t xml:space="preserve">Anúncios ativos (mín.)</t>
  </si>
  <si>
    <t xml:space="preserve">Criativos distintos (mín.)</t>
  </si>
  <si>
    <t xml:space="preserve">Outras páginas (mín.)</t>
  </si>
  <si>
    <t xml:space="preserve">Ticket mín. p/ funil 'forte' (R$)</t>
  </si>
  <si>
    <t xml:space="preserve">Nota 2 a partir de</t>
  </si>
  <si>
    <t xml:space="preserve">Nota 3 a partir de</t>
  </si>
  <si>
    <t xml:space="preserve">Nota 4 a partir de</t>
  </si>
  <si>
    <t xml:space="preserve">Nota 5 a partir de</t>
  </si>
  <si>
    <t xml:space="preserve">Abaixo da faixa da Nota 2 = Nota 1.</t>
  </si>
  <si>
    <t xml:space="preserve">Pesos (soma livre; normalizada no cálculo)</t>
  </si>
  <si>
    <t xml:space="preserve">Critério</t>
  </si>
  <si>
    <t xml:space="preserve">Peso</t>
  </si>
  <si>
    <t xml:space="preserve">Tempo no ar</t>
  </si>
  <si>
    <t xml:space="preserve">Volume de anúncios</t>
  </si>
  <si>
    <t xml:space="preserve">Criativos distintos</t>
  </si>
  <si>
    <t xml:space="preserve">Outras páginas (afiliados)</t>
  </si>
  <si>
    <t xml:space="preserve">Funil (bump/upsell/ticket)</t>
  </si>
  <si>
    <t xml:space="preserve">Cortes da classificação (nota final 0-100)</t>
  </si>
  <si>
    <t xml:space="preserve">Modelar já (a partir de)</t>
  </si>
  <si>
    <t xml:space="preserve">Monitorar (a partir de)</t>
  </si>
  <si>
    <t xml:space="preserve">Regras de leitura: dias no ar = idade do anúncio ativo mais antigo; criativos distintos = vídeos/imagens diferentes; funil forte = tem order bump/upsell e ticket &gt;= G4.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</si>
</sst>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9.55" hidden="false" customHeight="false" outlineLevel="0" collapsed="false">
      <c r="A5" s="4" t="s">
        <v>7</v>
      </c>
      <c r="B5" s="4" t="s">
        <v>8</v>
      </c>
      <c r="C5" s="4" t="s">
        <v>9</v>
      </c>
      <c r="D5" s="5" t="n">
        <v>1</v>
      </c>
      <c r="E5" s="4" t="s">
        <v>10</v>
      </c>
    </row>
    <row r="6" customFormat="false" ht="26.85" hidden="false" customHeight="false" outlineLevel="0" collapsed="false">
      <c r="A6" s="4" t="s">
        <v>11</v>
      </c>
      <c r="B6" s="4" t="s">
        <v>12</v>
      </c>
      <c r="C6" s="4" t="s">
        <v>13</v>
      </c>
      <c r="D6" s="5" t="n">
        <v>1</v>
      </c>
      <c r="E6" s="4" t="s">
        <v>14</v>
      </c>
    </row>
    <row r="7" customFormat="false" ht="26.85" hidden="false" customHeight="false" outlineLevel="0" collapsed="false">
      <c r="A7" s="4" t="s">
        <v>15</v>
      </c>
      <c r="B7" s="4" t="s">
        <v>16</v>
      </c>
      <c r="C7" s="4" t="s">
        <v>17</v>
      </c>
      <c r="D7" s="5" t="n">
        <v>1</v>
      </c>
      <c r="E7" s="4" t="s">
        <v>18</v>
      </c>
    </row>
    <row r="8" customFormat="false" ht="39.55" hidden="false" customHeight="false" outlineLevel="0" collapsed="false">
      <c r="A8" s="4" t="s">
        <v>19</v>
      </c>
      <c r="B8" s="4" t="s">
        <v>20</v>
      </c>
      <c r="C8" s="4" t="s">
        <v>21</v>
      </c>
      <c r="D8" s="5" t="n">
        <v>2</v>
      </c>
      <c r="E8" s="4" t="s">
        <v>22</v>
      </c>
    </row>
    <row r="9" customFormat="false" ht="26.85" hidden="false" customHeight="false" outlineLevel="0" collapsed="false">
      <c r="A9" s="4" t="s">
        <v>23</v>
      </c>
      <c r="B9" s="4" t="s">
        <v>24</v>
      </c>
      <c r="C9" s="4" t="s">
        <v>25</v>
      </c>
      <c r="D9" s="5" t="n">
        <v>2</v>
      </c>
      <c r="E9" s="4" t="s">
        <v>26</v>
      </c>
    </row>
    <row r="10" customFormat="false" ht="26.85" hidden="false" customHeight="false" outlineLevel="0" collapsed="false">
      <c r="A10" s="4" t="s">
        <v>27</v>
      </c>
      <c r="B10" s="4" t="s">
        <v>28</v>
      </c>
      <c r="C10" s="4" t="s">
        <v>29</v>
      </c>
      <c r="D10" s="5" t="n">
        <v>2</v>
      </c>
      <c r="E10" s="4" t="s">
        <v>30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4" t="s">
        <v>33</v>
      </c>
      <c r="D11" s="5" t="n">
        <v>2</v>
      </c>
      <c r="E11" s="4" t="s">
        <v>34</v>
      </c>
    </row>
    <row r="12" customFormat="false" ht="26.85" hidden="false" customHeight="false" outlineLevel="0" collapsed="false">
      <c r="A12" s="4" t="s">
        <v>35</v>
      </c>
      <c r="B12" s="4" t="s">
        <v>36</v>
      </c>
      <c r="C12" s="4" t="s">
        <v>37</v>
      </c>
      <c r="D12" s="5" t="n">
        <v>2</v>
      </c>
      <c r="E12" s="4" t="s">
        <v>38</v>
      </c>
    </row>
    <row r="13" customFormat="false" ht="26.85" hidden="false" customHeight="false" outlineLevel="0" collapsed="false">
      <c r="A13" s="4" t="s">
        <v>39</v>
      </c>
      <c r="B13" s="4" t="s">
        <v>40</v>
      </c>
      <c r="C13" s="4" t="s">
        <v>41</v>
      </c>
      <c r="D13" s="5" t="n">
        <v>2</v>
      </c>
      <c r="E13" s="4" t="s">
        <v>42</v>
      </c>
    </row>
    <row r="14" customFormat="false" ht="26.85" hidden="false" customHeight="false" outlineLevel="0" collapsed="false">
      <c r="A14" s="4" t="s">
        <v>43</v>
      </c>
      <c r="B14" s="4" t="s">
        <v>44</v>
      </c>
      <c r="C14" s="4" t="s">
        <v>45</v>
      </c>
      <c r="D14" s="5" t="n">
        <v>1</v>
      </c>
      <c r="E14" s="4" t="s">
        <v>46</v>
      </c>
    </row>
    <row r="15" customFormat="false" ht="26.85" hidden="false" customHeight="false" outlineLevel="0" collapsed="false">
      <c r="A15" s="4" t="s">
        <v>47</v>
      </c>
      <c r="B15" s="4" t="s">
        <v>48</v>
      </c>
      <c r="C15" s="4" t="s">
        <v>49</v>
      </c>
      <c r="D15" s="5" t="n">
        <v>3</v>
      </c>
      <c r="E15" s="4" t="s">
        <v>50</v>
      </c>
    </row>
    <row r="16" customFormat="false" ht="26.85" hidden="false" customHeight="false" outlineLevel="0" collapsed="false">
      <c r="A16" s="4" t="s">
        <v>51</v>
      </c>
      <c r="B16" s="4" t="s">
        <v>52</v>
      </c>
      <c r="C16" s="4" t="s">
        <v>53</v>
      </c>
      <c r="D16" s="5" t="n">
        <v>3</v>
      </c>
      <c r="E16" s="4" t="s">
        <v>54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8" min="7" style="0" width="15"/>
    <col collapsed="false" customWidth="true" hidden="false" outlineLevel="0" max="10" min="9" style="0" width="12"/>
    <col collapsed="false" customWidth="true" hidden="false" outlineLevel="0" max="16" min="11" style="0" width="9"/>
    <col collapsed="false" customWidth="true" hidden="false" outlineLevel="0" max="17" min="17" style="0" width="12"/>
    <col collapsed="false" customWidth="true" hidden="false" outlineLevel="0" max="18" min="18" style="0" width="14"/>
  </cols>
  <sheetData>
    <row r="1" customFormat="false" ht="17.35" hidden="false" customHeight="false" outlineLevel="0" collapsed="false">
      <c r="A1" s="1" t="s">
        <v>55</v>
      </c>
    </row>
    <row r="2" customFormat="false" ht="27.75" hidden="false" customHeight="tru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6" customFormat="false" ht="57.75" hidden="false" customHeight="true" outlineLevel="0" collapsed="false">
      <c r="A6" s="3" t="s">
        <v>57</v>
      </c>
      <c r="B6" s="3" t="s">
        <v>58</v>
      </c>
      <c r="C6" s="3" t="s">
        <v>2</v>
      </c>
      <c r="D6" s="3" t="s">
        <v>59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65</v>
      </c>
      <c r="K6" s="3" t="s">
        <v>66</v>
      </c>
      <c r="L6" s="3" t="s">
        <v>67</v>
      </c>
      <c r="M6" s="3" t="s">
        <v>68</v>
      </c>
      <c r="N6" s="3" t="s">
        <v>69</v>
      </c>
      <c r="O6" s="3" t="s">
        <v>70</v>
      </c>
      <c r="P6" s="3" t="s">
        <v>71</v>
      </c>
      <c r="Q6" s="3" t="s">
        <v>72</v>
      </c>
      <c r="R6" s="3" t="s">
        <v>73</v>
      </c>
    </row>
    <row r="7" customFormat="false" ht="15" hidden="false" customHeight="false" outlineLevel="0" collapsed="false">
      <c r="A7" s="6" t="s">
        <v>74</v>
      </c>
      <c r="B7" s="6" t="s">
        <v>75</v>
      </c>
      <c r="C7" s="6" t="s">
        <v>7</v>
      </c>
      <c r="D7" s="6" t="n">
        <v>75</v>
      </c>
      <c r="E7" s="6" t="n">
        <v>40</v>
      </c>
      <c r="F7" s="6" t="n">
        <v>12</v>
      </c>
      <c r="G7" s="6" t="n">
        <v>5</v>
      </c>
      <c r="H7" s="6" t="s">
        <v>76</v>
      </c>
      <c r="I7" s="7" t="n">
        <v>27</v>
      </c>
      <c r="J7" s="6" t="n">
        <v>5</v>
      </c>
      <c r="K7" s="8" t="n">
        <f aca="false">IF(D7="","",IF(D7&gt;=Parâmetros!$C$7,5,IF(D7&gt;=Parâmetros!$C$6,4,IF(D7&gt;=Parâmetros!$C$5,3,IF(D7&gt;=Parâmetros!$C$4,2,1)))))</f>
        <v>4</v>
      </c>
      <c r="L7" s="8" t="n">
        <f aca="false">IF(E7="","",IF(E7&gt;=Parâmetros!$D$7,5,IF(E7&gt;=Parâmetros!$D$6,4,IF(E7&gt;=Parâmetros!$D$5,3,IF(E7&gt;=Parâmetros!$D$4,2,1)))))</f>
        <v>4</v>
      </c>
      <c r="M7" s="8" t="n">
        <f aca="false">IF(F7="","",IF(F7&gt;=Parâmetros!$E$7,5,IF(F7&gt;=Parâmetros!$E$6,4,IF(F7&gt;=Parâmetros!$E$5,3,IF(F7&gt;=Parâmetros!$E$4,2,1)))))</f>
        <v>4</v>
      </c>
      <c r="N7" s="8" t="n">
        <f aca="false">IF(G7="","",IF(G7&gt;=Parâmetros!$F$7,5,IF(G7&gt;=Parâmetros!$F$6,4,IF(G7&gt;=Parâmetros!$F$5,3,IF(G7&gt;=Parâmetros!$F$4,2,1)))))</f>
        <v>4</v>
      </c>
      <c r="O7" s="8" t="n">
        <f aca="false">IF(H7="","",IF(H7="Sim",IF(I7&gt;=Parâmetros!$G$4,5,4),IF(I7&gt;=Parâmetros!$G$4,3,2)))</f>
        <v>5</v>
      </c>
      <c r="P7" s="8" t="n">
        <f aca="false">IF(J7="","",J7)</f>
        <v>5</v>
      </c>
      <c r="Q7" s="8" t="n">
        <f aca="false">IF(COUNT(K7:P7)&lt;6,"",ROUND(100*(K7*Parâmetros!$B$12+L7*Parâmetros!$B$13+M7*Parâmetros!$B$14+N7*Parâmetros!$B$15+O7*Parâmetros!$B$16+P7*Parâmetros!$B$17)/(5*SUM(Parâmetros!$B$12:$B$17)),0))</f>
        <v>87</v>
      </c>
      <c r="R7" s="9" t="str">
        <f aca="false">IF(Q7="","",IF(Q7&gt;=Parâmetros!$B$20,"Modelar já",IF(Q7&gt;=Parâmetros!$B$21,"Monitorar","Descartar")))</f>
        <v>Modelar já</v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7"/>
      <c r="J8" s="6"/>
      <c r="K8" s="8" t="str">
        <f aca="false">IF(D8="","",IF(D8&gt;=Parâmetros!$C$7,5,IF(D8&gt;=Parâmetros!$C$6,4,IF(D8&gt;=Parâmetros!$C$5,3,IF(D8&gt;=Parâmetros!$C$4,2,1)))))</f>
        <v/>
      </c>
      <c r="L8" s="8" t="str">
        <f aca="false">IF(E8="","",IF(E8&gt;=Parâmetros!$D$7,5,IF(E8&gt;=Parâmetros!$D$6,4,IF(E8&gt;=Parâmetros!$D$5,3,IF(E8&gt;=Parâmetros!$D$4,2,1)))))</f>
        <v/>
      </c>
      <c r="M8" s="8" t="str">
        <f aca="false">IF(F8="","",IF(F8&gt;=Parâmetros!$E$7,5,IF(F8&gt;=Parâmetros!$E$6,4,IF(F8&gt;=Parâmetros!$E$5,3,IF(F8&gt;=Parâmetros!$E$4,2,1)))))</f>
        <v/>
      </c>
      <c r="N8" s="8" t="str">
        <f aca="false">IF(G8="","",IF(G8&gt;=Parâmetros!$F$7,5,IF(G8&gt;=Parâmetros!$F$6,4,IF(G8&gt;=Parâmetros!$F$5,3,IF(G8&gt;=Parâmetros!$F$4,2,1)))))</f>
        <v/>
      </c>
      <c r="O8" s="8" t="str">
        <f aca="false">IF(H8="","",IF(H8="Sim",IF(I8&gt;=Parâmetros!$G$4,5,4),IF(I8&gt;=Parâmetros!$G$4,3,2)))</f>
        <v/>
      </c>
      <c r="P8" s="8" t="str">
        <f aca="false">IF(J8="","",J8)</f>
        <v/>
      </c>
      <c r="Q8" s="8" t="str">
        <f aca="false">IF(COUNT(K8:P8)&lt;6,"",ROUND(100*(K8*Parâmetros!$B$12+L8*Parâmetros!$B$13+M8*Parâmetros!$B$14+N8*Parâmetros!$B$15+O8*Parâmetros!$B$16+P8*Parâmetros!$B$17)/(5*SUM(Parâmetros!$B$12:$B$17)),0))</f>
        <v/>
      </c>
      <c r="R8" s="9" t="str">
        <f aca="false">IF(Q8="","",IF(Q8&gt;=Parâmetros!$B$20,"Modelar já",IF(Q8&gt;=Parâmetros!$B$21,"Monitorar","Descartar")))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7"/>
      <c r="J9" s="6"/>
      <c r="K9" s="8" t="str">
        <f aca="false">IF(D9="","",IF(D9&gt;=Parâmetros!$C$7,5,IF(D9&gt;=Parâmetros!$C$6,4,IF(D9&gt;=Parâmetros!$C$5,3,IF(D9&gt;=Parâmetros!$C$4,2,1)))))</f>
        <v/>
      </c>
      <c r="L9" s="8" t="str">
        <f aca="false">IF(E9="","",IF(E9&gt;=Parâmetros!$D$7,5,IF(E9&gt;=Parâmetros!$D$6,4,IF(E9&gt;=Parâmetros!$D$5,3,IF(E9&gt;=Parâmetros!$D$4,2,1)))))</f>
        <v/>
      </c>
      <c r="M9" s="8" t="str">
        <f aca="false">IF(F9="","",IF(F9&gt;=Parâmetros!$E$7,5,IF(F9&gt;=Parâmetros!$E$6,4,IF(F9&gt;=Parâmetros!$E$5,3,IF(F9&gt;=Parâmetros!$E$4,2,1)))))</f>
        <v/>
      </c>
      <c r="N9" s="8" t="str">
        <f aca="false">IF(G9="","",IF(G9&gt;=Parâmetros!$F$7,5,IF(G9&gt;=Parâmetros!$F$6,4,IF(G9&gt;=Parâmetros!$F$5,3,IF(G9&gt;=Parâmetros!$F$4,2,1)))))</f>
        <v/>
      </c>
      <c r="O9" s="8" t="str">
        <f aca="false">IF(H9="","",IF(H9="Sim",IF(I9&gt;=Parâmetros!$G$4,5,4),IF(I9&gt;=Parâmetros!$G$4,3,2)))</f>
        <v/>
      </c>
      <c r="P9" s="8" t="str">
        <f aca="false">IF(J9="","",J9)</f>
        <v/>
      </c>
      <c r="Q9" s="8" t="str">
        <f aca="false">IF(COUNT(K9:P9)&lt;6,"",ROUND(100*(K9*Parâmetros!$B$12+L9*Parâmetros!$B$13+M9*Parâmetros!$B$14+N9*Parâmetros!$B$15+O9*Parâmetros!$B$16+P9*Parâmetros!$B$17)/(5*SUM(Parâmetros!$B$12:$B$17)),0))</f>
        <v/>
      </c>
      <c r="R9" s="9" t="str">
        <f aca="false">IF(Q9="","",IF(Q9&gt;=Parâmetros!$B$20,"Modelar já",IF(Q9&gt;=Parâmetros!$B$21,"Monitorar","Descartar")))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7"/>
      <c r="J10" s="6"/>
      <c r="K10" s="8" t="str">
        <f aca="false">IF(D10="","",IF(D10&gt;=Parâmetros!$C$7,5,IF(D10&gt;=Parâmetros!$C$6,4,IF(D10&gt;=Parâmetros!$C$5,3,IF(D10&gt;=Parâmetros!$C$4,2,1)))))</f>
        <v/>
      </c>
      <c r="L10" s="8" t="str">
        <f aca="false">IF(E10="","",IF(E10&gt;=Parâmetros!$D$7,5,IF(E10&gt;=Parâmetros!$D$6,4,IF(E10&gt;=Parâmetros!$D$5,3,IF(E10&gt;=Parâmetros!$D$4,2,1)))))</f>
        <v/>
      </c>
      <c r="M10" s="8" t="str">
        <f aca="false">IF(F10="","",IF(F10&gt;=Parâmetros!$E$7,5,IF(F10&gt;=Parâmetros!$E$6,4,IF(F10&gt;=Parâmetros!$E$5,3,IF(F10&gt;=Parâmetros!$E$4,2,1)))))</f>
        <v/>
      </c>
      <c r="N10" s="8" t="str">
        <f aca="false">IF(G10="","",IF(G10&gt;=Parâmetros!$F$7,5,IF(G10&gt;=Parâmetros!$F$6,4,IF(G10&gt;=Parâmetros!$F$5,3,IF(G10&gt;=Parâmetros!$F$4,2,1)))))</f>
        <v/>
      </c>
      <c r="O10" s="8" t="str">
        <f aca="false">IF(H10="","",IF(H10="Sim",IF(I10&gt;=Parâmetros!$G$4,5,4),IF(I10&gt;=Parâmetros!$G$4,3,2)))</f>
        <v/>
      </c>
      <c r="P10" s="8" t="str">
        <f aca="false">IF(J10="","",J10)</f>
        <v/>
      </c>
      <c r="Q10" s="8" t="str">
        <f aca="false">IF(COUNT(K10:P10)&lt;6,"",ROUND(100*(K10*Parâmetros!$B$12+L10*Parâmetros!$B$13+M10*Parâmetros!$B$14+N10*Parâmetros!$B$15+O10*Parâmetros!$B$16+P10*Parâmetros!$B$17)/(5*SUM(Parâmetros!$B$12:$B$17)),0))</f>
        <v/>
      </c>
      <c r="R10" s="9" t="str">
        <f aca="false">IF(Q10="","",IF(Q10&gt;=Parâmetros!$B$20,"Modelar já",IF(Q10&gt;=Parâmetros!$B$21,"Monitorar","Descartar")))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7"/>
      <c r="J11" s="6"/>
      <c r="K11" s="8" t="str">
        <f aca="false">IF(D11="","",IF(D11&gt;=Parâmetros!$C$7,5,IF(D11&gt;=Parâmetros!$C$6,4,IF(D11&gt;=Parâmetros!$C$5,3,IF(D11&gt;=Parâmetros!$C$4,2,1)))))</f>
        <v/>
      </c>
      <c r="L11" s="8" t="str">
        <f aca="false">IF(E11="","",IF(E11&gt;=Parâmetros!$D$7,5,IF(E11&gt;=Parâmetros!$D$6,4,IF(E11&gt;=Parâmetros!$D$5,3,IF(E11&gt;=Parâmetros!$D$4,2,1)))))</f>
        <v/>
      </c>
      <c r="M11" s="8" t="str">
        <f aca="false">IF(F11="","",IF(F11&gt;=Parâmetros!$E$7,5,IF(F11&gt;=Parâmetros!$E$6,4,IF(F11&gt;=Parâmetros!$E$5,3,IF(F11&gt;=Parâmetros!$E$4,2,1)))))</f>
        <v/>
      </c>
      <c r="N11" s="8" t="str">
        <f aca="false">IF(G11="","",IF(G11&gt;=Parâmetros!$F$7,5,IF(G11&gt;=Parâmetros!$F$6,4,IF(G11&gt;=Parâmetros!$F$5,3,IF(G11&gt;=Parâmetros!$F$4,2,1)))))</f>
        <v/>
      </c>
      <c r="O11" s="8" t="str">
        <f aca="false">IF(H11="","",IF(H11="Sim",IF(I11&gt;=Parâmetros!$G$4,5,4),IF(I11&gt;=Parâmetros!$G$4,3,2)))</f>
        <v/>
      </c>
      <c r="P11" s="8" t="str">
        <f aca="false">IF(J11="","",J11)</f>
        <v/>
      </c>
      <c r="Q11" s="8" t="str">
        <f aca="false">IF(COUNT(K11:P11)&lt;6,"",ROUND(100*(K11*Parâmetros!$B$12+L11*Parâmetros!$B$13+M11*Parâmetros!$B$14+N11*Parâmetros!$B$15+O11*Parâmetros!$B$16+P11*Parâmetros!$B$17)/(5*SUM(Parâmetros!$B$12:$B$17)),0))</f>
        <v/>
      </c>
      <c r="R11" s="9" t="str">
        <f aca="false">IF(Q11="","",IF(Q11&gt;=Parâmetros!$B$20,"Modelar já",IF(Q11&gt;=Parâmetros!$B$21,"Monitorar","Descartar")))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7"/>
      <c r="J12" s="6"/>
      <c r="K12" s="8" t="str">
        <f aca="false">IF(D12="","",IF(D12&gt;=Parâmetros!$C$7,5,IF(D12&gt;=Parâmetros!$C$6,4,IF(D12&gt;=Parâmetros!$C$5,3,IF(D12&gt;=Parâmetros!$C$4,2,1)))))</f>
        <v/>
      </c>
      <c r="L12" s="8" t="str">
        <f aca="false">IF(E12="","",IF(E12&gt;=Parâmetros!$D$7,5,IF(E12&gt;=Parâmetros!$D$6,4,IF(E12&gt;=Parâmetros!$D$5,3,IF(E12&gt;=Parâmetros!$D$4,2,1)))))</f>
        <v/>
      </c>
      <c r="M12" s="8" t="str">
        <f aca="false">IF(F12="","",IF(F12&gt;=Parâmetros!$E$7,5,IF(F12&gt;=Parâmetros!$E$6,4,IF(F12&gt;=Parâmetros!$E$5,3,IF(F12&gt;=Parâmetros!$E$4,2,1)))))</f>
        <v/>
      </c>
      <c r="N12" s="8" t="str">
        <f aca="false">IF(G12="","",IF(G12&gt;=Parâmetros!$F$7,5,IF(G12&gt;=Parâmetros!$F$6,4,IF(G12&gt;=Parâmetros!$F$5,3,IF(G12&gt;=Parâmetros!$F$4,2,1)))))</f>
        <v/>
      </c>
      <c r="O12" s="8" t="str">
        <f aca="false">IF(H12="","",IF(H12="Sim",IF(I12&gt;=Parâmetros!$G$4,5,4),IF(I12&gt;=Parâmetros!$G$4,3,2)))</f>
        <v/>
      </c>
      <c r="P12" s="8" t="str">
        <f aca="false">IF(J12="","",J12)</f>
        <v/>
      </c>
      <c r="Q12" s="8" t="str">
        <f aca="false">IF(COUNT(K12:P12)&lt;6,"",ROUND(100*(K12*Parâmetros!$B$12+L12*Parâmetros!$B$13+M12*Parâmetros!$B$14+N12*Parâmetros!$B$15+O12*Parâmetros!$B$16+P12*Parâmetros!$B$17)/(5*SUM(Parâmetros!$B$12:$B$17)),0))</f>
        <v/>
      </c>
      <c r="R12" s="9" t="str">
        <f aca="false">IF(Q12="","",IF(Q12&gt;=Parâmetros!$B$20,"Modelar já",IF(Q12&gt;=Parâmetros!$B$21,"Monitorar","Descartar")))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7"/>
      <c r="J13" s="6"/>
      <c r="K13" s="8" t="str">
        <f aca="false">IF(D13="","",IF(D13&gt;=Parâmetros!$C$7,5,IF(D13&gt;=Parâmetros!$C$6,4,IF(D13&gt;=Parâmetros!$C$5,3,IF(D13&gt;=Parâmetros!$C$4,2,1)))))</f>
        <v/>
      </c>
      <c r="L13" s="8" t="str">
        <f aca="false">IF(E13="","",IF(E13&gt;=Parâmetros!$D$7,5,IF(E13&gt;=Parâmetros!$D$6,4,IF(E13&gt;=Parâmetros!$D$5,3,IF(E13&gt;=Parâmetros!$D$4,2,1)))))</f>
        <v/>
      </c>
      <c r="M13" s="8" t="str">
        <f aca="false">IF(F13="","",IF(F13&gt;=Parâmetros!$E$7,5,IF(F13&gt;=Parâmetros!$E$6,4,IF(F13&gt;=Parâmetros!$E$5,3,IF(F13&gt;=Parâmetros!$E$4,2,1)))))</f>
        <v/>
      </c>
      <c r="N13" s="8" t="str">
        <f aca="false">IF(G13="","",IF(G13&gt;=Parâmetros!$F$7,5,IF(G13&gt;=Parâmetros!$F$6,4,IF(G13&gt;=Parâmetros!$F$5,3,IF(G13&gt;=Parâmetros!$F$4,2,1)))))</f>
        <v/>
      </c>
      <c r="O13" s="8" t="str">
        <f aca="false">IF(H13="","",IF(H13="Sim",IF(I13&gt;=Parâmetros!$G$4,5,4),IF(I13&gt;=Parâmetros!$G$4,3,2)))</f>
        <v/>
      </c>
      <c r="P13" s="8" t="str">
        <f aca="false">IF(J13="","",J13)</f>
        <v/>
      </c>
      <c r="Q13" s="8" t="str">
        <f aca="false">IF(COUNT(K13:P13)&lt;6,"",ROUND(100*(K13*Parâmetros!$B$12+L13*Parâmetros!$B$13+M13*Parâmetros!$B$14+N13*Parâmetros!$B$15+O13*Parâmetros!$B$16+P13*Parâmetros!$B$17)/(5*SUM(Parâmetros!$B$12:$B$17)),0))</f>
        <v/>
      </c>
      <c r="R13" s="9" t="str">
        <f aca="false">IF(Q13="","",IF(Q13&gt;=Parâmetros!$B$20,"Modelar já",IF(Q13&gt;=Parâmetros!$B$21,"Monitorar","Descartar")))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7"/>
      <c r="J14" s="6"/>
      <c r="K14" s="8" t="str">
        <f aca="false">IF(D14="","",IF(D14&gt;=Parâmetros!$C$7,5,IF(D14&gt;=Parâmetros!$C$6,4,IF(D14&gt;=Parâmetros!$C$5,3,IF(D14&gt;=Parâmetros!$C$4,2,1)))))</f>
        <v/>
      </c>
      <c r="L14" s="8" t="str">
        <f aca="false">IF(E14="","",IF(E14&gt;=Parâmetros!$D$7,5,IF(E14&gt;=Parâmetros!$D$6,4,IF(E14&gt;=Parâmetros!$D$5,3,IF(E14&gt;=Parâmetros!$D$4,2,1)))))</f>
        <v/>
      </c>
      <c r="M14" s="8" t="str">
        <f aca="false">IF(F14="","",IF(F14&gt;=Parâmetros!$E$7,5,IF(F14&gt;=Parâmetros!$E$6,4,IF(F14&gt;=Parâmetros!$E$5,3,IF(F14&gt;=Parâmetros!$E$4,2,1)))))</f>
        <v/>
      </c>
      <c r="N14" s="8" t="str">
        <f aca="false">IF(G14="","",IF(G14&gt;=Parâmetros!$F$7,5,IF(G14&gt;=Parâmetros!$F$6,4,IF(G14&gt;=Parâmetros!$F$5,3,IF(G14&gt;=Parâmetros!$F$4,2,1)))))</f>
        <v/>
      </c>
      <c r="O14" s="8" t="str">
        <f aca="false">IF(H14="","",IF(H14="Sim",IF(I14&gt;=Parâmetros!$G$4,5,4),IF(I14&gt;=Parâmetros!$G$4,3,2)))</f>
        <v/>
      </c>
      <c r="P14" s="8" t="str">
        <f aca="false">IF(J14="","",J14)</f>
        <v/>
      </c>
      <c r="Q14" s="8" t="str">
        <f aca="false">IF(COUNT(K14:P14)&lt;6,"",ROUND(100*(K14*Parâmetros!$B$12+L14*Parâmetros!$B$13+M14*Parâmetros!$B$14+N14*Parâmetros!$B$15+O14*Parâmetros!$B$16+P14*Parâmetros!$B$17)/(5*SUM(Parâmetros!$B$12:$B$17)),0))</f>
        <v/>
      </c>
      <c r="R14" s="9" t="str">
        <f aca="false">IF(Q14="","",IF(Q14&gt;=Parâmetros!$B$20,"Modelar já",IF(Q14&gt;=Parâmetros!$B$21,"Monitorar","Descartar")))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7"/>
      <c r="J15" s="6"/>
      <c r="K15" s="8" t="str">
        <f aca="false">IF(D15="","",IF(D15&gt;=Parâmetros!$C$7,5,IF(D15&gt;=Parâmetros!$C$6,4,IF(D15&gt;=Parâmetros!$C$5,3,IF(D15&gt;=Parâmetros!$C$4,2,1)))))</f>
        <v/>
      </c>
      <c r="L15" s="8" t="str">
        <f aca="false">IF(E15="","",IF(E15&gt;=Parâmetros!$D$7,5,IF(E15&gt;=Parâmetros!$D$6,4,IF(E15&gt;=Parâmetros!$D$5,3,IF(E15&gt;=Parâmetros!$D$4,2,1)))))</f>
        <v/>
      </c>
      <c r="M15" s="8" t="str">
        <f aca="false">IF(F15="","",IF(F15&gt;=Parâmetros!$E$7,5,IF(F15&gt;=Parâmetros!$E$6,4,IF(F15&gt;=Parâmetros!$E$5,3,IF(F15&gt;=Parâmetros!$E$4,2,1)))))</f>
        <v/>
      </c>
      <c r="N15" s="8" t="str">
        <f aca="false">IF(G15="","",IF(G15&gt;=Parâmetros!$F$7,5,IF(G15&gt;=Parâmetros!$F$6,4,IF(G15&gt;=Parâmetros!$F$5,3,IF(G15&gt;=Parâmetros!$F$4,2,1)))))</f>
        <v/>
      </c>
      <c r="O15" s="8" t="str">
        <f aca="false">IF(H15="","",IF(H15="Sim",IF(I15&gt;=Parâmetros!$G$4,5,4),IF(I15&gt;=Parâmetros!$G$4,3,2)))</f>
        <v/>
      </c>
      <c r="P15" s="8" t="str">
        <f aca="false">IF(J15="","",J15)</f>
        <v/>
      </c>
      <c r="Q15" s="8" t="str">
        <f aca="false">IF(COUNT(K15:P15)&lt;6,"",ROUND(100*(K15*Parâmetros!$B$12+L15*Parâmetros!$B$13+M15*Parâmetros!$B$14+N15*Parâmetros!$B$15+O15*Parâmetros!$B$16+P15*Parâmetros!$B$17)/(5*SUM(Parâmetros!$B$12:$B$17)),0))</f>
        <v/>
      </c>
      <c r="R15" s="9" t="str">
        <f aca="false">IF(Q15="","",IF(Q15&gt;=Parâmetros!$B$20,"Modelar já",IF(Q15&gt;=Parâmetros!$B$21,"Monitorar","Descartar")))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7"/>
      <c r="J16" s="6"/>
      <c r="K16" s="8" t="str">
        <f aca="false">IF(D16="","",IF(D16&gt;=Parâmetros!$C$7,5,IF(D16&gt;=Parâmetros!$C$6,4,IF(D16&gt;=Parâmetros!$C$5,3,IF(D16&gt;=Parâmetros!$C$4,2,1)))))</f>
        <v/>
      </c>
      <c r="L16" s="8" t="str">
        <f aca="false">IF(E16="","",IF(E16&gt;=Parâmetros!$D$7,5,IF(E16&gt;=Parâmetros!$D$6,4,IF(E16&gt;=Parâmetros!$D$5,3,IF(E16&gt;=Parâmetros!$D$4,2,1)))))</f>
        <v/>
      </c>
      <c r="M16" s="8" t="str">
        <f aca="false">IF(F16="","",IF(F16&gt;=Parâmetros!$E$7,5,IF(F16&gt;=Parâmetros!$E$6,4,IF(F16&gt;=Parâmetros!$E$5,3,IF(F16&gt;=Parâmetros!$E$4,2,1)))))</f>
        <v/>
      </c>
      <c r="N16" s="8" t="str">
        <f aca="false">IF(G16="","",IF(G16&gt;=Parâmetros!$F$7,5,IF(G16&gt;=Parâmetros!$F$6,4,IF(G16&gt;=Parâmetros!$F$5,3,IF(G16&gt;=Parâmetros!$F$4,2,1)))))</f>
        <v/>
      </c>
      <c r="O16" s="8" t="str">
        <f aca="false">IF(H16="","",IF(H16="Sim",IF(I16&gt;=Parâmetros!$G$4,5,4),IF(I16&gt;=Parâmetros!$G$4,3,2)))</f>
        <v/>
      </c>
      <c r="P16" s="8" t="str">
        <f aca="false">IF(J16="","",J16)</f>
        <v/>
      </c>
      <c r="Q16" s="8" t="str">
        <f aca="false">IF(COUNT(K16:P16)&lt;6,"",ROUND(100*(K16*Parâmetros!$B$12+L16*Parâmetros!$B$13+M16*Parâmetros!$B$14+N16*Parâmetros!$B$15+O16*Parâmetros!$B$16+P16*Parâmetros!$B$17)/(5*SUM(Parâmetros!$B$12:$B$17)),0))</f>
        <v/>
      </c>
      <c r="R16" s="9" t="str">
        <f aca="false">IF(Q16="","",IF(Q16&gt;=Parâmetros!$B$20,"Modelar já",IF(Q16&gt;=Parâmetros!$B$21,"Monitorar","Descartar")))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7"/>
      <c r="J17" s="6"/>
      <c r="K17" s="8" t="str">
        <f aca="false">IF(D17="","",IF(D17&gt;=Parâmetros!$C$7,5,IF(D17&gt;=Parâmetros!$C$6,4,IF(D17&gt;=Parâmetros!$C$5,3,IF(D17&gt;=Parâmetros!$C$4,2,1)))))</f>
        <v/>
      </c>
      <c r="L17" s="8" t="str">
        <f aca="false">IF(E17="","",IF(E17&gt;=Parâmetros!$D$7,5,IF(E17&gt;=Parâmetros!$D$6,4,IF(E17&gt;=Parâmetros!$D$5,3,IF(E17&gt;=Parâmetros!$D$4,2,1)))))</f>
        <v/>
      </c>
      <c r="M17" s="8" t="str">
        <f aca="false">IF(F17="","",IF(F17&gt;=Parâmetros!$E$7,5,IF(F17&gt;=Parâmetros!$E$6,4,IF(F17&gt;=Parâmetros!$E$5,3,IF(F17&gt;=Parâmetros!$E$4,2,1)))))</f>
        <v/>
      </c>
      <c r="N17" s="8" t="str">
        <f aca="false">IF(G17="","",IF(G17&gt;=Parâmetros!$F$7,5,IF(G17&gt;=Parâmetros!$F$6,4,IF(G17&gt;=Parâmetros!$F$5,3,IF(G17&gt;=Parâmetros!$F$4,2,1)))))</f>
        <v/>
      </c>
      <c r="O17" s="8" t="str">
        <f aca="false">IF(H17="","",IF(H17="Sim",IF(I17&gt;=Parâmetros!$G$4,5,4),IF(I17&gt;=Parâmetros!$G$4,3,2)))</f>
        <v/>
      </c>
      <c r="P17" s="8" t="str">
        <f aca="false">IF(J17="","",J17)</f>
        <v/>
      </c>
      <c r="Q17" s="8" t="str">
        <f aca="false">IF(COUNT(K17:P17)&lt;6,"",ROUND(100*(K17*Parâmetros!$B$12+L17*Parâmetros!$B$13+M17*Parâmetros!$B$14+N17*Parâmetros!$B$15+O17*Parâmetros!$B$16+P17*Parâmetros!$B$17)/(5*SUM(Parâmetros!$B$12:$B$17)),0))</f>
        <v/>
      </c>
      <c r="R17" s="9" t="str">
        <f aca="false">IF(Q17="","",IF(Q17&gt;=Parâmetros!$B$20,"Modelar já",IF(Q17&gt;=Parâmetros!$B$21,"Monitorar","Descartar")))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7"/>
      <c r="J18" s="6"/>
      <c r="K18" s="8" t="str">
        <f aca="false">IF(D18="","",IF(D18&gt;=Parâmetros!$C$7,5,IF(D18&gt;=Parâmetros!$C$6,4,IF(D18&gt;=Parâmetros!$C$5,3,IF(D18&gt;=Parâmetros!$C$4,2,1)))))</f>
        <v/>
      </c>
      <c r="L18" s="8" t="str">
        <f aca="false">IF(E18="","",IF(E18&gt;=Parâmetros!$D$7,5,IF(E18&gt;=Parâmetros!$D$6,4,IF(E18&gt;=Parâmetros!$D$5,3,IF(E18&gt;=Parâmetros!$D$4,2,1)))))</f>
        <v/>
      </c>
      <c r="M18" s="8" t="str">
        <f aca="false">IF(F18="","",IF(F18&gt;=Parâmetros!$E$7,5,IF(F18&gt;=Parâmetros!$E$6,4,IF(F18&gt;=Parâmetros!$E$5,3,IF(F18&gt;=Parâmetros!$E$4,2,1)))))</f>
        <v/>
      </c>
      <c r="N18" s="8" t="str">
        <f aca="false">IF(G18="","",IF(G18&gt;=Parâmetros!$F$7,5,IF(G18&gt;=Parâmetros!$F$6,4,IF(G18&gt;=Parâmetros!$F$5,3,IF(G18&gt;=Parâmetros!$F$4,2,1)))))</f>
        <v/>
      </c>
      <c r="O18" s="8" t="str">
        <f aca="false">IF(H18="","",IF(H18="Sim",IF(I18&gt;=Parâmetros!$G$4,5,4),IF(I18&gt;=Parâmetros!$G$4,3,2)))</f>
        <v/>
      </c>
      <c r="P18" s="8" t="str">
        <f aca="false">IF(J18="","",J18)</f>
        <v/>
      </c>
      <c r="Q18" s="8" t="str">
        <f aca="false">IF(COUNT(K18:P18)&lt;6,"",ROUND(100*(K18*Parâmetros!$B$12+L18*Parâmetros!$B$13+M18*Parâmetros!$B$14+N18*Parâmetros!$B$15+O18*Parâmetros!$B$16+P18*Parâmetros!$B$17)/(5*SUM(Parâmetros!$B$12:$B$17)),0))</f>
        <v/>
      </c>
      <c r="R18" s="9" t="str">
        <f aca="false">IF(Q18="","",IF(Q18&gt;=Parâmetros!$B$20,"Modelar já",IF(Q18&gt;=Parâmetros!$B$21,"Monitorar","Descartar")))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7"/>
      <c r="J19" s="6"/>
      <c r="K19" s="8" t="str">
        <f aca="false">IF(D19="","",IF(D19&gt;=Parâmetros!$C$7,5,IF(D19&gt;=Parâmetros!$C$6,4,IF(D19&gt;=Parâmetros!$C$5,3,IF(D19&gt;=Parâmetros!$C$4,2,1)))))</f>
        <v/>
      </c>
      <c r="L19" s="8" t="str">
        <f aca="false">IF(E19="","",IF(E19&gt;=Parâmetros!$D$7,5,IF(E19&gt;=Parâmetros!$D$6,4,IF(E19&gt;=Parâmetros!$D$5,3,IF(E19&gt;=Parâmetros!$D$4,2,1)))))</f>
        <v/>
      </c>
      <c r="M19" s="8" t="str">
        <f aca="false">IF(F19="","",IF(F19&gt;=Parâmetros!$E$7,5,IF(F19&gt;=Parâmetros!$E$6,4,IF(F19&gt;=Parâmetros!$E$5,3,IF(F19&gt;=Parâmetros!$E$4,2,1)))))</f>
        <v/>
      </c>
      <c r="N19" s="8" t="str">
        <f aca="false">IF(G19="","",IF(G19&gt;=Parâmetros!$F$7,5,IF(G19&gt;=Parâmetros!$F$6,4,IF(G19&gt;=Parâmetros!$F$5,3,IF(G19&gt;=Parâmetros!$F$4,2,1)))))</f>
        <v/>
      </c>
      <c r="O19" s="8" t="str">
        <f aca="false">IF(H19="","",IF(H19="Sim",IF(I19&gt;=Parâmetros!$G$4,5,4),IF(I19&gt;=Parâmetros!$G$4,3,2)))</f>
        <v/>
      </c>
      <c r="P19" s="8" t="str">
        <f aca="false">IF(J19="","",J19)</f>
        <v/>
      </c>
      <c r="Q19" s="8" t="str">
        <f aca="false">IF(COUNT(K19:P19)&lt;6,"",ROUND(100*(K19*Parâmetros!$B$12+L19*Parâmetros!$B$13+M19*Parâmetros!$B$14+N19*Parâmetros!$B$15+O19*Parâmetros!$B$16+P19*Parâmetros!$B$17)/(5*SUM(Parâmetros!$B$12:$B$17)),0))</f>
        <v/>
      </c>
      <c r="R19" s="9" t="str">
        <f aca="false">IF(Q19="","",IF(Q19&gt;=Parâmetros!$B$20,"Modelar já",IF(Q19&gt;=Parâmetros!$B$21,"Monitorar","Descartar")))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7"/>
      <c r="J20" s="6"/>
      <c r="K20" s="8" t="str">
        <f aca="false">IF(D20="","",IF(D20&gt;=Parâmetros!$C$7,5,IF(D20&gt;=Parâmetros!$C$6,4,IF(D20&gt;=Parâmetros!$C$5,3,IF(D20&gt;=Parâmetros!$C$4,2,1)))))</f>
        <v/>
      </c>
      <c r="L20" s="8" t="str">
        <f aca="false">IF(E20="","",IF(E20&gt;=Parâmetros!$D$7,5,IF(E20&gt;=Parâmetros!$D$6,4,IF(E20&gt;=Parâmetros!$D$5,3,IF(E20&gt;=Parâmetros!$D$4,2,1)))))</f>
        <v/>
      </c>
      <c r="M20" s="8" t="str">
        <f aca="false">IF(F20="","",IF(F20&gt;=Parâmetros!$E$7,5,IF(F20&gt;=Parâmetros!$E$6,4,IF(F20&gt;=Parâmetros!$E$5,3,IF(F20&gt;=Parâmetros!$E$4,2,1)))))</f>
        <v/>
      </c>
      <c r="N20" s="8" t="str">
        <f aca="false">IF(G20="","",IF(G20&gt;=Parâmetros!$F$7,5,IF(G20&gt;=Parâmetros!$F$6,4,IF(G20&gt;=Parâmetros!$F$5,3,IF(G20&gt;=Parâmetros!$F$4,2,1)))))</f>
        <v/>
      </c>
      <c r="O20" s="8" t="str">
        <f aca="false">IF(H20="","",IF(H20="Sim",IF(I20&gt;=Parâmetros!$G$4,5,4),IF(I20&gt;=Parâmetros!$G$4,3,2)))</f>
        <v/>
      </c>
      <c r="P20" s="8" t="str">
        <f aca="false">IF(J20="","",J20)</f>
        <v/>
      </c>
      <c r="Q20" s="8" t="str">
        <f aca="false">IF(COUNT(K20:P20)&lt;6,"",ROUND(100*(K20*Parâmetros!$B$12+L20*Parâmetros!$B$13+M20*Parâmetros!$B$14+N20*Parâmetros!$B$15+O20*Parâmetros!$B$16+P20*Parâmetros!$B$17)/(5*SUM(Parâmetros!$B$12:$B$17)),0))</f>
        <v/>
      </c>
      <c r="R20" s="9" t="str">
        <f aca="false">IF(Q20="","",IF(Q20&gt;=Parâmetros!$B$20,"Modelar já",IF(Q20&gt;=Parâmetros!$B$21,"Monitorar","Descartar")))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7"/>
      <c r="J21" s="6"/>
      <c r="K21" s="8" t="str">
        <f aca="false">IF(D21="","",IF(D21&gt;=Parâmetros!$C$7,5,IF(D21&gt;=Parâmetros!$C$6,4,IF(D21&gt;=Parâmetros!$C$5,3,IF(D21&gt;=Parâmetros!$C$4,2,1)))))</f>
        <v/>
      </c>
      <c r="L21" s="8" t="str">
        <f aca="false">IF(E21="","",IF(E21&gt;=Parâmetros!$D$7,5,IF(E21&gt;=Parâmetros!$D$6,4,IF(E21&gt;=Parâmetros!$D$5,3,IF(E21&gt;=Parâmetros!$D$4,2,1)))))</f>
        <v/>
      </c>
      <c r="M21" s="8" t="str">
        <f aca="false">IF(F21="","",IF(F21&gt;=Parâmetros!$E$7,5,IF(F21&gt;=Parâmetros!$E$6,4,IF(F21&gt;=Parâmetros!$E$5,3,IF(F21&gt;=Parâmetros!$E$4,2,1)))))</f>
        <v/>
      </c>
      <c r="N21" s="8" t="str">
        <f aca="false">IF(G21="","",IF(G21&gt;=Parâmetros!$F$7,5,IF(G21&gt;=Parâmetros!$F$6,4,IF(G21&gt;=Parâmetros!$F$5,3,IF(G21&gt;=Parâmetros!$F$4,2,1)))))</f>
        <v/>
      </c>
      <c r="O21" s="8" t="str">
        <f aca="false">IF(H21="","",IF(H21="Sim",IF(I21&gt;=Parâmetros!$G$4,5,4),IF(I21&gt;=Parâmetros!$G$4,3,2)))</f>
        <v/>
      </c>
      <c r="P21" s="8" t="str">
        <f aca="false">IF(J21="","",J21)</f>
        <v/>
      </c>
      <c r="Q21" s="8" t="str">
        <f aca="false">IF(COUNT(K21:P21)&lt;6,"",ROUND(100*(K21*Parâmetros!$B$12+L21*Parâmetros!$B$13+M21*Parâmetros!$B$14+N21*Parâmetros!$B$15+O21*Parâmetros!$B$16+P21*Parâmetros!$B$17)/(5*SUM(Parâmetros!$B$12:$B$17)),0))</f>
        <v/>
      </c>
      <c r="R21" s="9" t="str">
        <f aca="false">IF(Q21="","",IF(Q21&gt;=Parâmetros!$B$20,"Modelar já",IF(Q21&gt;=Parâmetros!$B$21,"Monitorar","Descartar")))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7"/>
      <c r="J22" s="6"/>
      <c r="K22" s="8" t="str">
        <f aca="false">IF(D22="","",IF(D22&gt;=Parâmetros!$C$7,5,IF(D22&gt;=Parâmetros!$C$6,4,IF(D22&gt;=Parâmetros!$C$5,3,IF(D22&gt;=Parâmetros!$C$4,2,1)))))</f>
        <v/>
      </c>
      <c r="L22" s="8" t="str">
        <f aca="false">IF(E22="","",IF(E22&gt;=Parâmetros!$D$7,5,IF(E22&gt;=Parâmetros!$D$6,4,IF(E22&gt;=Parâmetros!$D$5,3,IF(E22&gt;=Parâmetros!$D$4,2,1)))))</f>
        <v/>
      </c>
      <c r="M22" s="8" t="str">
        <f aca="false">IF(F22="","",IF(F22&gt;=Parâmetros!$E$7,5,IF(F22&gt;=Parâmetros!$E$6,4,IF(F22&gt;=Parâmetros!$E$5,3,IF(F22&gt;=Parâmetros!$E$4,2,1)))))</f>
        <v/>
      </c>
      <c r="N22" s="8" t="str">
        <f aca="false">IF(G22="","",IF(G22&gt;=Parâmetros!$F$7,5,IF(G22&gt;=Parâmetros!$F$6,4,IF(G22&gt;=Parâmetros!$F$5,3,IF(G22&gt;=Parâmetros!$F$4,2,1)))))</f>
        <v/>
      </c>
      <c r="O22" s="8" t="str">
        <f aca="false">IF(H22="","",IF(H22="Sim",IF(I22&gt;=Parâmetros!$G$4,5,4),IF(I22&gt;=Parâmetros!$G$4,3,2)))</f>
        <v/>
      </c>
      <c r="P22" s="8" t="str">
        <f aca="false">IF(J22="","",J22)</f>
        <v/>
      </c>
      <c r="Q22" s="8" t="str">
        <f aca="false">IF(COUNT(K22:P22)&lt;6,"",ROUND(100*(K22*Parâmetros!$B$12+L22*Parâmetros!$B$13+M22*Parâmetros!$B$14+N22*Parâmetros!$B$15+O22*Parâmetros!$B$16+P22*Parâmetros!$B$17)/(5*SUM(Parâmetros!$B$12:$B$17)),0))</f>
        <v/>
      </c>
      <c r="R22" s="9" t="str">
        <f aca="false">IF(Q22="","",IF(Q22&gt;=Parâmetros!$B$20,"Modelar já",IF(Q22&gt;=Parâmetros!$B$21,"Monitorar","Descartar")))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7"/>
      <c r="J23" s="6"/>
      <c r="K23" s="8" t="str">
        <f aca="false">IF(D23="","",IF(D23&gt;=Parâmetros!$C$7,5,IF(D23&gt;=Parâmetros!$C$6,4,IF(D23&gt;=Parâmetros!$C$5,3,IF(D23&gt;=Parâmetros!$C$4,2,1)))))</f>
        <v/>
      </c>
      <c r="L23" s="8" t="str">
        <f aca="false">IF(E23="","",IF(E23&gt;=Parâmetros!$D$7,5,IF(E23&gt;=Parâmetros!$D$6,4,IF(E23&gt;=Parâmetros!$D$5,3,IF(E23&gt;=Parâmetros!$D$4,2,1)))))</f>
        <v/>
      </c>
      <c r="M23" s="8" t="str">
        <f aca="false">IF(F23="","",IF(F23&gt;=Parâmetros!$E$7,5,IF(F23&gt;=Parâmetros!$E$6,4,IF(F23&gt;=Parâmetros!$E$5,3,IF(F23&gt;=Parâmetros!$E$4,2,1)))))</f>
        <v/>
      </c>
      <c r="N23" s="8" t="str">
        <f aca="false">IF(G23="","",IF(G23&gt;=Parâmetros!$F$7,5,IF(G23&gt;=Parâmetros!$F$6,4,IF(G23&gt;=Parâmetros!$F$5,3,IF(G23&gt;=Parâmetros!$F$4,2,1)))))</f>
        <v/>
      </c>
      <c r="O23" s="8" t="str">
        <f aca="false">IF(H23="","",IF(H23="Sim",IF(I23&gt;=Parâmetros!$G$4,5,4),IF(I23&gt;=Parâmetros!$G$4,3,2)))</f>
        <v/>
      </c>
      <c r="P23" s="8" t="str">
        <f aca="false">IF(J23="","",J23)</f>
        <v/>
      </c>
      <c r="Q23" s="8" t="str">
        <f aca="false">IF(COUNT(K23:P23)&lt;6,"",ROUND(100*(K23*Parâmetros!$B$12+L23*Parâmetros!$B$13+M23*Parâmetros!$B$14+N23*Parâmetros!$B$15+O23*Parâmetros!$B$16+P23*Parâmetros!$B$17)/(5*SUM(Parâmetros!$B$12:$B$17)),0))</f>
        <v/>
      </c>
      <c r="R23" s="9" t="str">
        <f aca="false">IF(Q23="","",IF(Q23&gt;=Parâmetros!$B$20,"Modelar já",IF(Q23&gt;=Parâmetros!$B$21,"Monitorar","Descartar")))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7"/>
      <c r="J24" s="6"/>
      <c r="K24" s="8" t="str">
        <f aca="false">IF(D24="","",IF(D24&gt;=Parâmetros!$C$7,5,IF(D24&gt;=Parâmetros!$C$6,4,IF(D24&gt;=Parâmetros!$C$5,3,IF(D24&gt;=Parâmetros!$C$4,2,1)))))</f>
        <v/>
      </c>
      <c r="L24" s="8" t="str">
        <f aca="false">IF(E24="","",IF(E24&gt;=Parâmetros!$D$7,5,IF(E24&gt;=Parâmetros!$D$6,4,IF(E24&gt;=Parâmetros!$D$5,3,IF(E24&gt;=Parâmetros!$D$4,2,1)))))</f>
        <v/>
      </c>
      <c r="M24" s="8" t="str">
        <f aca="false">IF(F24="","",IF(F24&gt;=Parâmetros!$E$7,5,IF(F24&gt;=Parâmetros!$E$6,4,IF(F24&gt;=Parâmetros!$E$5,3,IF(F24&gt;=Parâmetros!$E$4,2,1)))))</f>
        <v/>
      </c>
      <c r="N24" s="8" t="str">
        <f aca="false">IF(G24="","",IF(G24&gt;=Parâmetros!$F$7,5,IF(G24&gt;=Parâmetros!$F$6,4,IF(G24&gt;=Parâmetros!$F$5,3,IF(G24&gt;=Parâmetros!$F$4,2,1)))))</f>
        <v/>
      </c>
      <c r="O24" s="8" t="str">
        <f aca="false">IF(H24="","",IF(H24="Sim",IF(I24&gt;=Parâmetros!$G$4,5,4),IF(I24&gt;=Parâmetros!$G$4,3,2)))</f>
        <v/>
      </c>
      <c r="P24" s="8" t="str">
        <f aca="false">IF(J24="","",J24)</f>
        <v/>
      </c>
      <c r="Q24" s="8" t="str">
        <f aca="false">IF(COUNT(K24:P24)&lt;6,"",ROUND(100*(K24*Parâmetros!$B$12+L24*Parâmetros!$B$13+M24*Parâmetros!$B$14+N24*Parâmetros!$B$15+O24*Parâmetros!$B$16+P24*Parâmetros!$B$17)/(5*SUM(Parâmetros!$B$12:$B$17)),0))</f>
        <v/>
      </c>
      <c r="R24" s="9" t="str">
        <f aca="false">IF(Q24="","",IF(Q24&gt;=Parâmetros!$B$20,"Modelar já",IF(Q24&gt;=Parâmetros!$B$21,"Monitorar","Descartar")))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7"/>
      <c r="J25" s="6"/>
      <c r="K25" s="8" t="str">
        <f aca="false">IF(D25="","",IF(D25&gt;=Parâmetros!$C$7,5,IF(D25&gt;=Parâmetros!$C$6,4,IF(D25&gt;=Parâmetros!$C$5,3,IF(D25&gt;=Parâmetros!$C$4,2,1)))))</f>
        <v/>
      </c>
      <c r="L25" s="8" t="str">
        <f aca="false">IF(E25="","",IF(E25&gt;=Parâmetros!$D$7,5,IF(E25&gt;=Parâmetros!$D$6,4,IF(E25&gt;=Parâmetros!$D$5,3,IF(E25&gt;=Parâmetros!$D$4,2,1)))))</f>
        <v/>
      </c>
      <c r="M25" s="8" t="str">
        <f aca="false">IF(F25="","",IF(F25&gt;=Parâmetros!$E$7,5,IF(F25&gt;=Parâmetros!$E$6,4,IF(F25&gt;=Parâmetros!$E$5,3,IF(F25&gt;=Parâmetros!$E$4,2,1)))))</f>
        <v/>
      </c>
      <c r="N25" s="8" t="str">
        <f aca="false">IF(G25="","",IF(G25&gt;=Parâmetros!$F$7,5,IF(G25&gt;=Parâmetros!$F$6,4,IF(G25&gt;=Parâmetros!$F$5,3,IF(G25&gt;=Parâmetros!$F$4,2,1)))))</f>
        <v/>
      </c>
      <c r="O25" s="8" t="str">
        <f aca="false">IF(H25="","",IF(H25="Sim",IF(I25&gt;=Parâmetros!$G$4,5,4),IF(I25&gt;=Parâmetros!$G$4,3,2)))</f>
        <v/>
      </c>
      <c r="P25" s="8" t="str">
        <f aca="false">IF(J25="","",J25)</f>
        <v/>
      </c>
      <c r="Q25" s="8" t="str">
        <f aca="false">IF(COUNT(K25:P25)&lt;6,"",ROUND(100*(K25*Parâmetros!$B$12+L25*Parâmetros!$B$13+M25*Parâmetros!$B$14+N25*Parâmetros!$B$15+O25*Parâmetros!$B$16+P25*Parâmetros!$B$17)/(5*SUM(Parâmetros!$B$12:$B$17)),0))</f>
        <v/>
      </c>
      <c r="R25" s="9" t="str">
        <f aca="false">IF(Q25="","",IF(Q25&gt;=Parâmetros!$B$20,"Modelar já",IF(Q25&gt;=Parâmetros!$B$21,"Monitorar","Descartar")))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7"/>
      <c r="J26" s="6"/>
      <c r="K26" s="8" t="str">
        <f aca="false">IF(D26="","",IF(D26&gt;=Parâmetros!$C$7,5,IF(D26&gt;=Parâmetros!$C$6,4,IF(D26&gt;=Parâmetros!$C$5,3,IF(D26&gt;=Parâmetros!$C$4,2,1)))))</f>
        <v/>
      </c>
      <c r="L26" s="8" t="str">
        <f aca="false">IF(E26="","",IF(E26&gt;=Parâmetros!$D$7,5,IF(E26&gt;=Parâmetros!$D$6,4,IF(E26&gt;=Parâmetros!$D$5,3,IF(E26&gt;=Parâmetros!$D$4,2,1)))))</f>
        <v/>
      </c>
      <c r="M26" s="8" t="str">
        <f aca="false">IF(F26="","",IF(F26&gt;=Parâmetros!$E$7,5,IF(F26&gt;=Parâmetros!$E$6,4,IF(F26&gt;=Parâmetros!$E$5,3,IF(F26&gt;=Parâmetros!$E$4,2,1)))))</f>
        <v/>
      </c>
      <c r="N26" s="8" t="str">
        <f aca="false">IF(G26="","",IF(G26&gt;=Parâmetros!$F$7,5,IF(G26&gt;=Parâmetros!$F$6,4,IF(G26&gt;=Parâmetros!$F$5,3,IF(G26&gt;=Parâmetros!$F$4,2,1)))))</f>
        <v/>
      </c>
      <c r="O26" s="8" t="str">
        <f aca="false">IF(H26="","",IF(H26="Sim",IF(I26&gt;=Parâmetros!$G$4,5,4),IF(I26&gt;=Parâmetros!$G$4,3,2)))</f>
        <v/>
      </c>
      <c r="P26" s="8" t="str">
        <f aca="false">IF(J26="","",J26)</f>
        <v/>
      </c>
      <c r="Q26" s="8" t="str">
        <f aca="false">IF(COUNT(K26:P26)&lt;6,"",ROUND(100*(K26*Parâmetros!$B$12+L26*Parâmetros!$B$13+M26*Parâmetros!$B$14+N26*Parâmetros!$B$15+O26*Parâmetros!$B$16+P26*Parâmetros!$B$17)/(5*SUM(Parâmetros!$B$12:$B$17)),0))</f>
        <v/>
      </c>
      <c r="R26" s="9" t="str">
        <f aca="false">IF(Q26="","",IF(Q26&gt;=Parâmetros!$B$20,"Modelar já",IF(Q26&gt;=Parâmetros!$B$21,"Monitorar","Descartar")))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7"/>
      <c r="J27" s="6"/>
      <c r="K27" s="8" t="str">
        <f aca="false">IF(D27="","",IF(D27&gt;=Parâmetros!$C$7,5,IF(D27&gt;=Parâmetros!$C$6,4,IF(D27&gt;=Parâmetros!$C$5,3,IF(D27&gt;=Parâmetros!$C$4,2,1)))))</f>
        <v/>
      </c>
      <c r="L27" s="8" t="str">
        <f aca="false">IF(E27="","",IF(E27&gt;=Parâmetros!$D$7,5,IF(E27&gt;=Parâmetros!$D$6,4,IF(E27&gt;=Parâmetros!$D$5,3,IF(E27&gt;=Parâmetros!$D$4,2,1)))))</f>
        <v/>
      </c>
      <c r="M27" s="8" t="str">
        <f aca="false">IF(F27="","",IF(F27&gt;=Parâmetros!$E$7,5,IF(F27&gt;=Parâmetros!$E$6,4,IF(F27&gt;=Parâmetros!$E$5,3,IF(F27&gt;=Parâmetros!$E$4,2,1)))))</f>
        <v/>
      </c>
      <c r="N27" s="8" t="str">
        <f aca="false">IF(G27="","",IF(G27&gt;=Parâmetros!$F$7,5,IF(G27&gt;=Parâmetros!$F$6,4,IF(G27&gt;=Parâmetros!$F$5,3,IF(G27&gt;=Parâmetros!$F$4,2,1)))))</f>
        <v/>
      </c>
      <c r="O27" s="8" t="str">
        <f aca="false">IF(H27="","",IF(H27="Sim",IF(I27&gt;=Parâmetros!$G$4,5,4),IF(I27&gt;=Parâmetros!$G$4,3,2)))</f>
        <v/>
      </c>
      <c r="P27" s="8" t="str">
        <f aca="false">IF(J27="","",J27)</f>
        <v/>
      </c>
      <c r="Q27" s="8" t="str">
        <f aca="false">IF(COUNT(K27:P27)&lt;6,"",ROUND(100*(K27*Parâmetros!$B$12+L27*Parâmetros!$B$13+M27*Parâmetros!$B$14+N27*Parâmetros!$B$15+O27*Parâmetros!$B$16+P27*Parâmetros!$B$17)/(5*SUM(Parâmetros!$B$12:$B$17)),0))</f>
        <v/>
      </c>
      <c r="R27" s="9" t="str">
        <f aca="false">IF(Q27="","",IF(Q27&gt;=Parâmetros!$B$20,"Modelar já",IF(Q27&gt;=Parâmetros!$B$21,"Monitorar","Descartar")))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7"/>
      <c r="J28" s="6"/>
      <c r="K28" s="8" t="str">
        <f aca="false">IF(D28="","",IF(D28&gt;=Parâmetros!$C$7,5,IF(D28&gt;=Parâmetros!$C$6,4,IF(D28&gt;=Parâmetros!$C$5,3,IF(D28&gt;=Parâmetros!$C$4,2,1)))))</f>
        <v/>
      </c>
      <c r="L28" s="8" t="str">
        <f aca="false">IF(E28="","",IF(E28&gt;=Parâmetros!$D$7,5,IF(E28&gt;=Parâmetros!$D$6,4,IF(E28&gt;=Parâmetros!$D$5,3,IF(E28&gt;=Parâmetros!$D$4,2,1)))))</f>
        <v/>
      </c>
      <c r="M28" s="8" t="str">
        <f aca="false">IF(F28="","",IF(F28&gt;=Parâmetros!$E$7,5,IF(F28&gt;=Parâmetros!$E$6,4,IF(F28&gt;=Parâmetros!$E$5,3,IF(F28&gt;=Parâmetros!$E$4,2,1)))))</f>
        <v/>
      </c>
      <c r="N28" s="8" t="str">
        <f aca="false">IF(G28="","",IF(G28&gt;=Parâmetros!$F$7,5,IF(G28&gt;=Parâmetros!$F$6,4,IF(G28&gt;=Parâmetros!$F$5,3,IF(G28&gt;=Parâmetros!$F$4,2,1)))))</f>
        <v/>
      </c>
      <c r="O28" s="8" t="str">
        <f aca="false">IF(H28="","",IF(H28="Sim",IF(I28&gt;=Parâmetros!$G$4,5,4),IF(I28&gt;=Parâmetros!$G$4,3,2)))</f>
        <v/>
      </c>
      <c r="P28" s="8" t="str">
        <f aca="false">IF(J28="","",J28)</f>
        <v/>
      </c>
      <c r="Q28" s="8" t="str">
        <f aca="false">IF(COUNT(K28:P28)&lt;6,"",ROUND(100*(K28*Parâmetros!$B$12+L28*Parâmetros!$B$13+M28*Parâmetros!$B$14+N28*Parâmetros!$B$15+O28*Parâmetros!$B$16+P28*Parâmetros!$B$17)/(5*SUM(Parâmetros!$B$12:$B$17)),0))</f>
        <v/>
      </c>
      <c r="R28" s="9" t="str">
        <f aca="false">IF(Q28="","",IF(Q28&gt;=Parâmetros!$B$20,"Modelar já",IF(Q28&gt;=Parâmetros!$B$21,"Monitorar","Descartar")))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7"/>
      <c r="J29" s="6"/>
      <c r="K29" s="8" t="str">
        <f aca="false">IF(D29="","",IF(D29&gt;=Parâmetros!$C$7,5,IF(D29&gt;=Parâmetros!$C$6,4,IF(D29&gt;=Parâmetros!$C$5,3,IF(D29&gt;=Parâmetros!$C$4,2,1)))))</f>
        <v/>
      </c>
      <c r="L29" s="8" t="str">
        <f aca="false">IF(E29="","",IF(E29&gt;=Parâmetros!$D$7,5,IF(E29&gt;=Parâmetros!$D$6,4,IF(E29&gt;=Parâmetros!$D$5,3,IF(E29&gt;=Parâmetros!$D$4,2,1)))))</f>
        <v/>
      </c>
      <c r="M29" s="8" t="str">
        <f aca="false">IF(F29="","",IF(F29&gt;=Parâmetros!$E$7,5,IF(F29&gt;=Parâmetros!$E$6,4,IF(F29&gt;=Parâmetros!$E$5,3,IF(F29&gt;=Parâmetros!$E$4,2,1)))))</f>
        <v/>
      </c>
      <c r="N29" s="8" t="str">
        <f aca="false">IF(G29="","",IF(G29&gt;=Parâmetros!$F$7,5,IF(G29&gt;=Parâmetros!$F$6,4,IF(G29&gt;=Parâmetros!$F$5,3,IF(G29&gt;=Parâmetros!$F$4,2,1)))))</f>
        <v/>
      </c>
      <c r="O29" s="8" t="str">
        <f aca="false">IF(H29="","",IF(H29="Sim",IF(I29&gt;=Parâmetros!$G$4,5,4),IF(I29&gt;=Parâmetros!$G$4,3,2)))</f>
        <v/>
      </c>
      <c r="P29" s="8" t="str">
        <f aca="false">IF(J29="","",J29)</f>
        <v/>
      </c>
      <c r="Q29" s="8" t="str">
        <f aca="false">IF(COUNT(K29:P29)&lt;6,"",ROUND(100*(K29*Parâmetros!$B$12+L29*Parâmetros!$B$13+M29*Parâmetros!$B$14+N29*Parâmetros!$B$15+O29*Parâmetros!$B$16+P29*Parâmetros!$B$17)/(5*SUM(Parâmetros!$B$12:$B$17)),0))</f>
        <v/>
      </c>
      <c r="R29" s="9" t="str">
        <f aca="false">IF(Q29="","",IF(Q29&gt;=Parâmetros!$B$20,"Modelar já",IF(Q29&gt;=Parâmetros!$B$21,"Monitorar","Descartar")))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7"/>
      <c r="J30" s="6"/>
      <c r="K30" s="8" t="str">
        <f aca="false">IF(D30="","",IF(D30&gt;=Parâmetros!$C$7,5,IF(D30&gt;=Parâmetros!$C$6,4,IF(D30&gt;=Parâmetros!$C$5,3,IF(D30&gt;=Parâmetros!$C$4,2,1)))))</f>
        <v/>
      </c>
      <c r="L30" s="8" t="str">
        <f aca="false">IF(E30="","",IF(E30&gt;=Parâmetros!$D$7,5,IF(E30&gt;=Parâmetros!$D$6,4,IF(E30&gt;=Parâmetros!$D$5,3,IF(E30&gt;=Parâmetros!$D$4,2,1)))))</f>
        <v/>
      </c>
      <c r="M30" s="8" t="str">
        <f aca="false">IF(F30="","",IF(F30&gt;=Parâmetros!$E$7,5,IF(F30&gt;=Parâmetros!$E$6,4,IF(F30&gt;=Parâmetros!$E$5,3,IF(F30&gt;=Parâmetros!$E$4,2,1)))))</f>
        <v/>
      </c>
      <c r="N30" s="8" t="str">
        <f aca="false">IF(G30="","",IF(G30&gt;=Parâmetros!$F$7,5,IF(G30&gt;=Parâmetros!$F$6,4,IF(G30&gt;=Parâmetros!$F$5,3,IF(G30&gt;=Parâmetros!$F$4,2,1)))))</f>
        <v/>
      </c>
      <c r="O30" s="8" t="str">
        <f aca="false">IF(H30="","",IF(H30="Sim",IF(I30&gt;=Parâmetros!$G$4,5,4),IF(I30&gt;=Parâmetros!$G$4,3,2)))</f>
        <v/>
      </c>
      <c r="P30" s="8" t="str">
        <f aca="false">IF(J30="","",J30)</f>
        <v/>
      </c>
      <c r="Q30" s="8" t="str">
        <f aca="false">IF(COUNT(K30:P30)&lt;6,"",ROUND(100*(K30*Parâmetros!$B$12+L30*Parâmetros!$B$13+M30*Parâmetros!$B$14+N30*Parâmetros!$B$15+O30*Parâmetros!$B$16+P30*Parâmetros!$B$17)/(5*SUM(Parâmetros!$B$12:$B$17)),0))</f>
        <v/>
      </c>
      <c r="R30" s="9" t="str">
        <f aca="false">IF(Q30="","",IF(Q30&gt;=Parâmetros!$B$20,"Modelar já",IF(Q30&gt;=Parâmetros!$B$21,"Monitorar","Descartar")))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7"/>
      <c r="J31" s="6"/>
      <c r="K31" s="8" t="str">
        <f aca="false">IF(D31="","",IF(D31&gt;=Parâmetros!$C$7,5,IF(D31&gt;=Parâmetros!$C$6,4,IF(D31&gt;=Parâmetros!$C$5,3,IF(D31&gt;=Parâmetros!$C$4,2,1)))))</f>
        <v/>
      </c>
      <c r="L31" s="8" t="str">
        <f aca="false">IF(E31="","",IF(E31&gt;=Parâmetros!$D$7,5,IF(E31&gt;=Parâmetros!$D$6,4,IF(E31&gt;=Parâmetros!$D$5,3,IF(E31&gt;=Parâmetros!$D$4,2,1)))))</f>
        <v/>
      </c>
      <c r="M31" s="8" t="str">
        <f aca="false">IF(F31="","",IF(F31&gt;=Parâmetros!$E$7,5,IF(F31&gt;=Parâmetros!$E$6,4,IF(F31&gt;=Parâmetros!$E$5,3,IF(F31&gt;=Parâmetros!$E$4,2,1)))))</f>
        <v/>
      </c>
      <c r="N31" s="8" t="str">
        <f aca="false">IF(G31="","",IF(G31&gt;=Parâmetros!$F$7,5,IF(G31&gt;=Parâmetros!$F$6,4,IF(G31&gt;=Parâmetros!$F$5,3,IF(G31&gt;=Parâmetros!$F$4,2,1)))))</f>
        <v/>
      </c>
      <c r="O31" s="8" t="str">
        <f aca="false">IF(H31="","",IF(H31="Sim",IF(I31&gt;=Parâmetros!$G$4,5,4),IF(I31&gt;=Parâmetros!$G$4,3,2)))</f>
        <v/>
      </c>
      <c r="P31" s="8" t="str">
        <f aca="false">IF(J31="","",J31)</f>
        <v/>
      </c>
      <c r="Q31" s="8" t="str">
        <f aca="false">IF(COUNT(K31:P31)&lt;6,"",ROUND(100*(K31*Parâmetros!$B$12+L31*Parâmetros!$B$13+M31*Parâmetros!$B$14+N31*Parâmetros!$B$15+O31*Parâmetros!$B$16+P31*Parâmetros!$B$17)/(5*SUM(Parâmetros!$B$12:$B$17)),0))</f>
        <v/>
      </c>
      <c r="R31" s="9" t="str">
        <f aca="false">IF(Q31="","",IF(Q31&gt;=Parâmetros!$B$20,"Modelar já",IF(Q31&gt;=Parâmetros!$B$21,"Monitorar","Descartar")))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7"/>
      <c r="J32" s="6"/>
      <c r="K32" s="8" t="str">
        <f aca="false">IF(D32="","",IF(D32&gt;=Parâmetros!$C$7,5,IF(D32&gt;=Parâmetros!$C$6,4,IF(D32&gt;=Parâmetros!$C$5,3,IF(D32&gt;=Parâmetros!$C$4,2,1)))))</f>
        <v/>
      </c>
      <c r="L32" s="8" t="str">
        <f aca="false">IF(E32="","",IF(E32&gt;=Parâmetros!$D$7,5,IF(E32&gt;=Parâmetros!$D$6,4,IF(E32&gt;=Parâmetros!$D$5,3,IF(E32&gt;=Parâmetros!$D$4,2,1)))))</f>
        <v/>
      </c>
      <c r="M32" s="8" t="str">
        <f aca="false">IF(F32="","",IF(F32&gt;=Parâmetros!$E$7,5,IF(F32&gt;=Parâmetros!$E$6,4,IF(F32&gt;=Parâmetros!$E$5,3,IF(F32&gt;=Parâmetros!$E$4,2,1)))))</f>
        <v/>
      </c>
      <c r="N32" s="8" t="str">
        <f aca="false">IF(G32="","",IF(G32&gt;=Parâmetros!$F$7,5,IF(G32&gt;=Parâmetros!$F$6,4,IF(G32&gt;=Parâmetros!$F$5,3,IF(G32&gt;=Parâmetros!$F$4,2,1)))))</f>
        <v/>
      </c>
      <c r="O32" s="8" t="str">
        <f aca="false">IF(H32="","",IF(H32="Sim",IF(I32&gt;=Parâmetros!$G$4,5,4),IF(I32&gt;=Parâmetros!$G$4,3,2)))</f>
        <v/>
      </c>
      <c r="P32" s="8" t="str">
        <f aca="false">IF(J32="","",J32)</f>
        <v/>
      </c>
      <c r="Q32" s="8" t="str">
        <f aca="false">IF(COUNT(K32:P32)&lt;6,"",ROUND(100*(K32*Parâmetros!$B$12+L32*Parâmetros!$B$13+M32*Parâmetros!$B$14+N32*Parâmetros!$B$15+O32*Parâmetros!$B$16+P32*Parâmetros!$B$17)/(5*SUM(Parâmetros!$B$12:$B$17)),0))</f>
        <v/>
      </c>
      <c r="R32" s="9" t="str">
        <f aca="false">IF(Q32="","",IF(Q32&gt;=Parâmetros!$B$20,"Modelar já",IF(Q32&gt;=Parâmetros!$B$21,"Monitorar","Descartar")))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7"/>
      <c r="J33" s="6"/>
      <c r="K33" s="8" t="str">
        <f aca="false">IF(D33="","",IF(D33&gt;=Parâmetros!$C$7,5,IF(D33&gt;=Parâmetros!$C$6,4,IF(D33&gt;=Parâmetros!$C$5,3,IF(D33&gt;=Parâmetros!$C$4,2,1)))))</f>
        <v/>
      </c>
      <c r="L33" s="8" t="str">
        <f aca="false">IF(E33="","",IF(E33&gt;=Parâmetros!$D$7,5,IF(E33&gt;=Parâmetros!$D$6,4,IF(E33&gt;=Parâmetros!$D$5,3,IF(E33&gt;=Parâmetros!$D$4,2,1)))))</f>
        <v/>
      </c>
      <c r="M33" s="8" t="str">
        <f aca="false">IF(F33="","",IF(F33&gt;=Parâmetros!$E$7,5,IF(F33&gt;=Parâmetros!$E$6,4,IF(F33&gt;=Parâmetros!$E$5,3,IF(F33&gt;=Parâmetros!$E$4,2,1)))))</f>
        <v/>
      </c>
      <c r="N33" s="8" t="str">
        <f aca="false">IF(G33="","",IF(G33&gt;=Parâmetros!$F$7,5,IF(G33&gt;=Parâmetros!$F$6,4,IF(G33&gt;=Parâmetros!$F$5,3,IF(G33&gt;=Parâmetros!$F$4,2,1)))))</f>
        <v/>
      </c>
      <c r="O33" s="8" t="str">
        <f aca="false">IF(H33="","",IF(H33="Sim",IF(I33&gt;=Parâmetros!$G$4,5,4),IF(I33&gt;=Parâmetros!$G$4,3,2)))</f>
        <v/>
      </c>
      <c r="P33" s="8" t="str">
        <f aca="false">IF(J33="","",J33)</f>
        <v/>
      </c>
      <c r="Q33" s="8" t="str">
        <f aca="false">IF(COUNT(K33:P33)&lt;6,"",ROUND(100*(K33*Parâmetros!$B$12+L33*Parâmetros!$B$13+M33*Parâmetros!$B$14+N33*Parâmetros!$B$15+O33*Parâmetros!$B$16+P33*Parâmetros!$B$17)/(5*SUM(Parâmetros!$B$12:$B$17)),0))</f>
        <v/>
      </c>
      <c r="R33" s="9" t="str">
        <f aca="false">IF(Q33="","",IF(Q33&gt;=Parâmetros!$B$20,"Modelar já",IF(Q33&gt;=Parâmetros!$B$21,"Monitorar","Descartar")))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7"/>
      <c r="J34" s="6"/>
      <c r="K34" s="8" t="str">
        <f aca="false">IF(D34="","",IF(D34&gt;=Parâmetros!$C$7,5,IF(D34&gt;=Parâmetros!$C$6,4,IF(D34&gt;=Parâmetros!$C$5,3,IF(D34&gt;=Parâmetros!$C$4,2,1)))))</f>
        <v/>
      </c>
      <c r="L34" s="8" t="str">
        <f aca="false">IF(E34="","",IF(E34&gt;=Parâmetros!$D$7,5,IF(E34&gt;=Parâmetros!$D$6,4,IF(E34&gt;=Parâmetros!$D$5,3,IF(E34&gt;=Parâmetros!$D$4,2,1)))))</f>
        <v/>
      </c>
      <c r="M34" s="8" t="str">
        <f aca="false">IF(F34="","",IF(F34&gt;=Parâmetros!$E$7,5,IF(F34&gt;=Parâmetros!$E$6,4,IF(F34&gt;=Parâmetros!$E$5,3,IF(F34&gt;=Parâmetros!$E$4,2,1)))))</f>
        <v/>
      </c>
      <c r="N34" s="8" t="str">
        <f aca="false">IF(G34="","",IF(G34&gt;=Parâmetros!$F$7,5,IF(G34&gt;=Parâmetros!$F$6,4,IF(G34&gt;=Parâmetros!$F$5,3,IF(G34&gt;=Parâmetros!$F$4,2,1)))))</f>
        <v/>
      </c>
      <c r="O34" s="8" t="str">
        <f aca="false">IF(H34="","",IF(H34="Sim",IF(I34&gt;=Parâmetros!$G$4,5,4),IF(I34&gt;=Parâmetros!$G$4,3,2)))</f>
        <v/>
      </c>
      <c r="P34" s="8" t="str">
        <f aca="false">IF(J34="","",J34)</f>
        <v/>
      </c>
      <c r="Q34" s="8" t="str">
        <f aca="false">IF(COUNT(K34:P34)&lt;6,"",ROUND(100*(K34*Parâmetros!$B$12+L34*Parâmetros!$B$13+M34*Parâmetros!$B$14+N34*Parâmetros!$B$15+O34*Parâmetros!$B$16+P34*Parâmetros!$B$17)/(5*SUM(Parâmetros!$B$12:$B$17)),0))</f>
        <v/>
      </c>
      <c r="R34" s="9" t="str">
        <f aca="false">IF(Q34="","",IF(Q34&gt;=Parâmetros!$B$20,"Modelar já",IF(Q34&gt;=Parâmetros!$B$21,"Monitorar","Descartar")))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7"/>
      <c r="J35" s="6"/>
      <c r="K35" s="8" t="str">
        <f aca="false">IF(D35="","",IF(D35&gt;=Parâmetros!$C$7,5,IF(D35&gt;=Parâmetros!$C$6,4,IF(D35&gt;=Parâmetros!$C$5,3,IF(D35&gt;=Parâmetros!$C$4,2,1)))))</f>
        <v/>
      </c>
      <c r="L35" s="8" t="str">
        <f aca="false">IF(E35="","",IF(E35&gt;=Parâmetros!$D$7,5,IF(E35&gt;=Parâmetros!$D$6,4,IF(E35&gt;=Parâmetros!$D$5,3,IF(E35&gt;=Parâmetros!$D$4,2,1)))))</f>
        <v/>
      </c>
      <c r="M35" s="8" t="str">
        <f aca="false">IF(F35="","",IF(F35&gt;=Parâmetros!$E$7,5,IF(F35&gt;=Parâmetros!$E$6,4,IF(F35&gt;=Parâmetros!$E$5,3,IF(F35&gt;=Parâmetros!$E$4,2,1)))))</f>
        <v/>
      </c>
      <c r="N35" s="8" t="str">
        <f aca="false">IF(G35="","",IF(G35&gt;=Parâmetros!$F$7,5,IF(G35&gt;=Parâmetros!$F$6,4,IF(G35&gt;=Parâmetros!$F$5,3,IF(G35&gt;=Parâmetros!$F$4,2,1)))))</f>
        <v/>
      </c>
      <c r="O35" s="8" t="str">
        <f aca="false">IF(H35="","",IF(H35="Sim",IF(I35&gt;=Parâmetros!$G$4,5,4),IF(I35&gt;=Parâmetros!$G$4,3,2)))</f>
        <v/>
      </c>
      <c r="P35" s="8" t="str">
        <f aca="false">IF(J35="","",J35)</f>
        <v/>
      </c>
      <c r="Q35" s="8" t="str">
        <f aca="false">IF(COUNT(K35:P35)&lt;6,"",ROUND(100*(K35*Parâmetros!$B$12+L35*Parâmetros!$B$13+M35*Parâmetros!$B$14+N35*Parâmetros!$B$15+O35*Parâmetros!$B$16+P35*Parâmetros!$B$17)/(5*SUM(Parâmetros!$B$12:$B$17)),0))</f>
        <v/>
      </c>
      <c r="R35" s="9" t="str">
        <f aca="false">IF(Q35="","",IF(Q35&gt;=Parâmetros!$B$20,"Modelar já",IF(Q35&gt;=Parâmetros!$B$21,"Monitorar","Descartar")))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7"/>
      <c r="J36" s="6"/>
      <c r="K36" s="8" t="str">
        <f aca="false">IF(D36="","",IF(D36&gt;=Parâmetros!$C$7,5,IF(D36&gt;=Parâmetros!$C$6,4,IF(D36&gt;=Parâmetros!$C$5,3,IF(D36&gt;=Parâmetros!$C$4,2,1)))))</f>
        <v/>
      </c>
      <c r="L36" s="8" t="str">
        <f aca="false">IF(E36="","",IF(E36&gt;=Parâmetros!$D$7,5,IF(E36&gt;=Parâmetros!$D$6,4,IF(E36&gt;=Parâmetros!$D$5,3,IF(E36&gt;=Parâmetros!$D$4,2,1)))))</f>
        <v/>
      </c>
      <c r="M36" s="8" t="str">
        <f aca="false">IF(F36="","",IF(F36&gt;=Parâmetros!$E$7,5,IF(F36&gt;=Parâmetros!$E$6,4,IF(F36&gt;=Parâmetros!$E$5,3,IF(F36&gt;=Parâmetros!$E$4,2,1)))))</f>
        <v/>
      </c>
      <c r="N36" s="8" t="str">
        <f aca="false">IF(G36="","",IF(G36&gt;=Parâmetros!$F$7,5,IF(G36&gt;=Parâmetros!$F$6,4,IF(G36&gt;=Parâmetros!$F$5,3,IF(G36&gt;=Parâmetros!$F$4,2,1)))))</f>
        <v/>
      </c>
      <c r="O36" s="8" t="str">
        <f aca="false">IF(H36="","",IF(H36="Sim",IF(I36&gt;=Parâmetros!$G$4,5,4),IF(I36&gt;=Parâmetros!$G$4,3,2)))</f>
        <v/>
      </c>
      <c r="P36" s="8" t="str">
        <f aca="false">IF(J36="","",J36)</f>
        <v/>
      </c>
      <c r="Q36" s="8" t="str">
        <f aca="false">IF(COUNT(K36:P36)&lt;6,"",ROUND(100*(K36*Parâmetros!$B$12+L36*Parâmetros!$B$13+M36*Parâmetros!$B$14+N36*Parâmetros!$B$15+O36*Parâmetros!$B$16+P36*Parâmetros!$B$17)/(5*SUM(Parâmetros!$B$12:$B$17)),0))</f>
        <v/>
      </c>
      <c r="R36" s="9" t="str">
        <f aca="false">IF(Q36="","",IF(Q36&gt;=Parâmetros!$B$20,"Modelar já",IF(Q36&gt;=Parâmetros!$B$21,"Monitorar","Descartar")))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7"/>
      <c r="J37" s="6"/>
      <c r="K37" s="8" t="str">
        <f aca="false">IF(D37="","",IF(D37&gt;=Parâmetros!$C$7,5,IF(D37&gt;=Parâmetros!$C$6,4,IF(D37&gt;=Parâmetros!$C$5,3,IF(D37&gt;=Parâmetros!$C$4,2,1)))))</f>
        <v/>
      </c>
      <c r="L37" s="8" t="str">
        <f aca="false">IF(E37="","",IF(E37&gt;=Parâmetros!$D$7,5,IF(E37&gt;=Parâmetros!$D$6,4,IF(E37&gt;=Parâmetros!$D$5,3,IF(E37&gt;=Parâmetros!$D$4,2,1)))))</f>
        <v/>
      </c>
      <c r="M37" s="8" t="str">
        <f aca="false">IF(F37="","",IF(F37&gt;=Parâmetros!$E$7,5,IF(F37&gt;=Parâmetros!$E$6,4,IF(F37&gt;=Parâmetros!$E$5,3,IF(F37&gt;=Parâmetros!$E$4,2,1)))))</f>
        <v/>
      </c>
      <c r="N37" s="8" t="str">
        <f aca="false">IF(G37="","",IF(G37&gt;=Parâmetros!$F$7,5,IF(G37&gt;=Parâmetros!$F$6,4,IF(G37&gt;=Parâmetros!$F$5,3,IF(G37&gt;=Parâmetros!$F$4,2,1)))))</f>
        <v/>
      </c>
      <c r="O37" s="8" t="str">
        <f aca="false">IF(H37="","",IF(H37="Sim",IF(I37&gt;=Parâmetros!$G$4,5,4),IF(I37&gt;=Parâmetros!$G$4,3,2)))</f>
        <v/>
      </c>
      <c r="P37" s="8" t="str">
        <f aca="false">IF(J37="","",J37)</f>
        <v/>
      </c>
      <c r="Q37" s="8" t="str">
        <f aca="false">IF(COUNT(K37:P37)&lt;6,"",ROUND(100*(K37*Parâmetros!$B$12+L37*Parâmetros!$B$13+M37*Parâmetros!$B$14+N37*Parâmetros!$B$15+O37*Parâmetros!$B$16+P37*Parâmetros!$B$17)/(5*SUM(Parâmetros!$B$12:$B$17)),0))</f>
        <v/>
      </c>
      <c r="R37" s="9" t="str">
        <f aca="false">IF(Q37="","",IF(Q37&gt;=Parâmetros!$B$20,"Modelar já",IF(Q37&gt;=Parâmetros!$B$21,"Monitorar","Descartar")))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7"/>
      <c r="J38" s="6"/>
      <c r="K38" s="8" t="str">
        <f aca="false">IF(D38="","",IF(D38&gt;=Parâmetros!$C$7,5,IF(D38&gt;=Parâmetros!$C$6,4,IF(D38&gt;=Parâmetros!$C$5,3,IF(D38&gt;=Parâmetros!$C$4,2,1)))))</f>
        <v/>
      </c>
      <c r="L38" s="8" t="str">
        <f aca="false">IF(E38="","",IF(E38&gt;=Parâmetros!$D$7,5,IF(E38&gt;=Parâmetros!$D$6,4,IF(E38&gt;=Parâmetros!$D$5,3,IF(E38&gt;=Parâmetros!$D$4,2,1)))))</f>
        <v/>
      </c>
      <c r="M38" s="8" t="str">
        <f aca="false">IF(F38="","",IF(F38&gt;=Parâmetros!$E$7,5,IF(F38&gt;=Parâmetros!$E$6,4,IF(F38&gt;=Parâmetros!$E$5,3,IF(F38&gt;=Parâmetros!$E$4,2,1)))))</f>
        <v/>
      </c>
      <c r="N38" s="8" t="str">
        <f aca="false">IF(G38="","",IF(G38&gt;=Parâmetros!$F$7,5,IF(G38&gt;=Parâmetros!$F$6,4,IF(G38&gt;=Parâmetros!$F$5,3,IF(G38&gt;=Parâmetros!$F$4,2,1)))))</f>
        <v/>
      </c>
      <c r="O38" s="8" t="str">
        <f aca="false">IF(H38="","",IF(H38="Sim",IF(I38&gt;=Parâmetros!$G$4,5,4),IF(I38&gt;=Parâmetros!$G$4,3,2)))</f>
        <v/>
      </c>
      <c r="P38" s="8" t="str">
        <f aca="false">IF(J38="","",J38)</f>
        <v/>
      </c>
      <c r="Q38" s="8" t="str">
        <f aca="false">IF(COUNT(K38:P38)&lt;6,"",ROUND(100*(K38*Parâmetros!$B$12+L38*Parâmetros!$B$13+M38*Parâmetros!$B$14+N38*Parâmetros!$B$15+O38*Parâmetros!$B$16+P38*Parâmetros!$B$17)/(5*SUM(Parâmetros!$B$12:$B$17)),0))</f>
        <v/>
      </c>
      <c r="R38" s="9" t="str">
        <f aca="false">IF(Q38="","",IF(Q38&gt;=Parâmetros!$B$20,"Modelar já",IF(Q38&gt;=Parâmetros!$B$21,"Monitorar","Descartar")))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7"/>
      <c r="J39" s="6"/>
      <c r="K39" s="8" t="str">
        <f aca="false">IF(D39="","",IF(D39&gt;=Parâmetros!$C$7,5,IF(D39&gt;=Parâmetros!$C$6,4,IF(D39&gt;=Parâmetros!$C$5,3,IF(D39&gt;=Parâmetros!$C$4,2,1)))))</f>
        <v/>
      </c>
      <c r="L39" s="8" t="str">
        <f aca="false">IF(E39="","",IF(E39&gt;=Parâmetros!$D$7,5,IF(E39&gt;=Parâmetros!$D$6,4,IF(E39&gt;=Parâmetros!$D$5,3,IF(E39&gt;=Parâmetros!$D$4,2,1)))))</f>
        <v/>
      </c>
      <c r="M39" s="8" t="str">
        <f aca="false">IF(F39="","",IF(F39&gt;=Parâmetros!$E$7,5,IF(F39&gt;=Parâmetros!$E$6,4,IF(F39&gt;=Parâmetros!$E$5,3,IF(F39&gt;=Parâmetros!$E$4,2,1)))))</f>
        <v/>
      </c>
      <c r="N39" s="8" t="str">
        <f aca="false">IF(G39="","",IF(G39&gt;=Parâmetros!$F$7,5,IF(G39&gt;=Parâmetros!$F$6,4,IF(G39&gt;=Parâmetros!$F$5,3,IF(G39&gt;=Parâmetros!$F$4,2,1)))))</f>
        <v/>
      </c>
      <c r="O39" s="8" t="str">
        <f aca="false">IF(H39="","",IF(H39="Sim",IF(I39&gt;=Parâmetros!$G$4,5,4),IF(I39&gt;=Parâmetros!$G$4,3,2)))</f>
        <v/>
      </c>
      <c r="P39" s="8" t="str">
        <f aca="false">IF(J39="","",J39)</f>
        <v/>
      </c>
      <c r="Q39" s="8" t="str">
        <f aca="false">IF(COUNT(K39:P39)&lt;6,"",ROUND(100*(K39*Parâmetros!$B$12+L39*Parâmetros!$B$13+M39*Parâmetros!$B$14+N39*Parâmetros!$B$15+O39*Parâmetros!$B$16+P39*Parâmetros!$B$17)/(5*SUM(Parâmetros!$B$12:$B$17)),0))</f>
        <v/>
      </c>
      <c r="R39" s="9" t="str">
        <f aca="false">IF(Q39="","",IF(Q39&gt;=Parâmetros!$B$20,"Modelar já",IF(Q39&gt;=Parâmetros!$B$21,"Monitorar","Descartar")))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7"/>
      <c r="J40" s="6"/>
      <c r="K40" s="8" t="str">
        <f aca="false">IF(D40="","",IF(D40&gt;=Parâmetros!$C$7,5,IF(D40&gt;=Parâmetros!$C$6,4,IF(D40&gt;=Parâmetros!$C$5,3,IF(D40&gt;=Parâmetros!$C$4,2,1)))))</f>
        <v/>
      </c>
      <c r="L40" s="8" t="str">
        <f aca="false">IF(E40="","",IF(E40&gt;=Parâmetros!$D$7,5,IF(E40&gt;=Parâmetros!$D$6,4,IF(E40&gt;=Parâmetros!$D$5,3,IF(E40&gt;=Parâmetros!$D$4,2,1)))))</f>
        <v/>
      </c>
      <c r="M40" s="8" t="str">
        <f aca="false">IF(F40="","",IF(F40&gt;=Parâmetros!$E$7,5,IF(F40&gt;=Parâmetros!$E$6,4,IF(F40&gt;=Parâmetros!$E$5,3,IF(F40&gt;=Parâmetros!$E$4,2,1)))))</f>
        <v/>
      </c>
      <c r="N40" s="8" t="str">
        <f aca="false">IF(G40="","",IF(G40&gt;=Parâmetros!$F$7,5,IF(G40&gt;=Parâmetros!$F$6,4,IF(G40&gt;=Parâmetros!$F$5,3,IF(G40&gt;=Parâmetros!$F$4,2,1)))))</f>
        <v/>
      </c>
      <c r="O40" s="8" t="str">
        <f aca="false">IF(H40="","",IF(H40="Sim",IF(I40&gt;=Parâmetros!$G$4,5,4),IF(I40&gt;=Parâmetros!$G$4,3,2)))</f>
        <v/>
      </c>
      <c r="P40" s="8" t="str">
        <f aca="false">IF(J40="","",J40)</f>
        <v/>
      </c>
      <c r="Q40" s="8" t="str">
        <f aca="false">IF(COUNT(K40:P40)&lt;6,"",ROUND(100*(K40*Parâmetros!$B$12+L40*Parâmetros!$B$13+M40*Parâmetros!$B$14+N40*Parâmetros!$B$15+O40*Parâmetros!$B$16+P40*Parâmetros!$B$17)/(5*SUM(Parâmetros!$B$12:$B$17)),0))</f>
        <v/>
      </c>
      <c r="R40" s="9" t="str">
        <f aca="false">IF(Q40="","",IF(Q40&gt;=Parâmetros!$B$20,"Modelar já",IF(Q40&gt;=Parâmetros!$B$21,"Monitorar","Descartar")))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7"/>
      <c r="J41" s="6"/>
      <c r="K41" s="8" t="str">
        <f aca="false">IF(D41="","",IF(D41&gt;=Parâmetros!$C$7,5,IF(D41&gt;=Parâmetros!$C$6,4,IF(D41&gt;=Parâmetros!$C$5,3,IF(D41&gt;=Parâmetros!$C$4,2,1)))))</f>
        <v/>
      </c>
      <c r="L41" s="8" t="str">
        <f aca="false">IF(E41="","",IF(E41&gt;=Parâmetros!$D$7,5,IF(E41&gt;=Parâmetros!$D$6,4,IF(E41&gt;=Parâmetros!$D$5,3,IF(E41&gt;=Parâmetros!$D$4,2,1)))))</f>
        <v/>
      </c>
      <c r="M41" s="8" t="str">
        <f aca="false">IF(F41="","",IF(F41&gt;=Parâmetros!$E$7,5,IF(F41&gt;=Parâmetros!$E$6,4,IF(F41&gt;=Parâmetros!$E$5,3,IF(F41&gt;=Parâmetros!$E$4,2,1)))))</f>
        <v/>
      </c>
      <c r="N41" s="8" t="str">
        <f aca="false">IF(G41="","",IF(G41&gt;=Parâmetros!$F$7,5,IF(G41&gt;=Parâmetros!$F$6,4,IF(G41&gt;=Parâmetros!$F$5,3,IF(G41&gt;=Parâmetros!$F$4,2,1)))))</f>
        <v/>
      </c>
      <c r="O41" s="8" t="str">
        <f aca="false">IF(H41="","",IF(H41="Sim",IF(I41&gt;=Parâmetros!$G$4,5,4),IF(I41&gt;=Parâmetros!$G$4,3,2)))</f>
        <v/>
      </c>
      <c r="P41" s="8" t="str">
        <f aca="false">IF(J41="","",J41)</f>
        <v/>
      </c>
      <c r="Q41" s="8" t="str">
        <f aca="false">IF(COUNT(K41:P41)&lt;6,"",ROUND(100*(K41*Parâmetros!$B$12+L41*Parâmetros!$B$13+M41*Parâmetros!$B$14+N41*Parâmetros!$B$15+O41*Parâmetros!$B$16+P41*Parâmetros!$B$17)/(5*SUM(Parâmetros!$B$12:$B$17)),0))</f>
        <v/>
      </c>
      <c r="R41" s="9" t="str">
        <f aca="false">IF(Q41="","",IF(Q41&gt;=Parâmetros!$B$20,"Modelar já",IF(Q41&gt;=Parâmetros!$B$21,"Monitorar","Descartar")))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7"/>
      <c r="J42" s="6"/>
      <c r="K42" s="8" t="str">
        <f aca="false">IF(D42="","",IF(D42&gt;=Parâmetros!$C$7,5,IF(D42&gt;=Parâmetros!$C$6,4,IF(D42&gt;=Parâmetros!$C$5,3,IF(D42&gt;=Parâmetros!$C$4,2,1)))))</f>
        <v/>
      </c>
      <c r="L42" s="8" t="str">
        <f aca="false">IF(E42="","",IF(E42&gt;=Parâmetros!$D$7,5,IF(E42&gt;=Parâmetros!$D$6,4,IF(E42&gt;=Parâmetros!$D$5,3,IF(E42&gt;=Parâmetros!$D$4,2,1)))))</f>
        <v/>
      </c>
      <c r="M42" s="8" t="str">
        <f aca="false">IF(F42="","",IF(F42&gt;=Parâmetros!$E$7,5,IF(F42&gt;=Parâmetros!$E$6,4,IF(F42&gt;=Parâmetros!$E$5,3,IF(F42&gt;=Parâmetros!$E$4,2,1)))))</f>
        <v/>
      </c>
      <c r="N42" s="8" t="str">
        <f aca="false">IF(G42="","",IF(G42&gt;=Parâmetros!$F$7,5,IF(G42&gt;=Parâmetros!$F$6,4,IF(G42&gt;=Parâmetros!$F$5,3,IF(G42&gt;=Parâmetros!$F$4,2,1)))))</f>
        <v/>
      </c>
      <c r="O42" s="8" t="str">
        <f aca="false">IF(H42="","",IF(H42="Sim",IF(I42&gt;=Parâmetros!$G$4,5,4),IF(I42&gt;=Parâmetros!$G$4,3,2)))</f>
        <v/>
      </c>
      <c r="P42" s="8" t="str">
        <f aca="false">IF(J42="","",J42)</f>
        <v/>
      </c>
      <c r="Q42" s="8" t="str">
        <f aca="false">IF(COUNT(K42:P42)&lt;6,"",ROUND(100*(K42*Parâmetros!$B$12+L42*Parâmetros!$B$13+M42*Parâmetros!$B$14+N42*Parâmetros!$B$15+O42*Parâmetros!$B$16+P42*Parâmetros!$B$17)/(5*SUM(Parâmetros!$B$12:$B$17)),0))</f>
        <v/>
      </c>
      <c r="R42" s="9" t="str">
        <f aca="false">IF(Q42="","",IF(Q42&gt;=Parâmetros!$B$20,"Modelar já",IF(Q42&gt;=Parâmetros!$B$21,"Monitorar","Descartar")))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7"/>
      <c r="J43" s="6"/>
      <c r="K43" s="8" t="str">
        <f aca="false">IF(D43="","",IF(D43&gt;=Parâmetros!$C$7,5,IF(D43&gt;=Parâmetros!$C$6,4,IF(D43&gt;=Parâmetros!$C$5,3,IF(D43&gt;=Parâmetros!$C$4,2,1)))))</f>
        <v/>
      </c>
      <c r="L43" s="8" t="str">
        <f aca="false">IF(E43="","",IF(E43&gt;=Parâmetros!$D$7,5,IF(E43&gt;=Parâmetros!$D$6,4,IF(E43&gt;=Parâmetros!$D$5,3,IF(E43&gt;=Parâmetros!$D$4,2,1)))))</f>
        <v/>
      </c>
      <c r="M43" s="8" t="str">
        <f aca="false">IF(F43="","",IF(F43&gt;=Parâmetros!$E$7,5,IF(F43&gt;=Parâmetros!$E$6,4,IF(F43&gt;=Parâmetros!$E$5,3,IF(F43&gt;=Parâmetros!$E$4,2,1)))))</f>
        <v/>
      </c>
      <c r="N43" s="8" t="str">
        <f aca="false">IF(G43="","",IF(G43&gt;=Parâmetros!$F$7,5,IF(G43&gt;=Parâmetros!$F$6,4,IF(G43&gt;=Parâmetros!$F$5,3,IF(G43&gt;=Parâmetros!$F$4,2,1)))))</f>
        <v/>
      </c>
      <c r="O43" s="8" t="str">
        <f aca="false">IF(H43="","",IF(H43="Sim",IF(I43&gt;=Parâmetros!$G$4,5,4),IF(I43&gt;=Parâmetros!$G$4,3,2)))</f>
        <v/>
      </c>
      <c r="P43" s="8" t="str">
        <f aca="false">IF(J43="","",J43)</f>
        <v/>
      </c>
      <c r="Q43" s="8" t="str">
        <f aca="false">IF(COUNT(K43:P43)&lt;6,"",ROUND(100*(K43*Parâmetros!$B$12+L43*Parâmetros!$B$13+M43*Parâmetros!$B$14+N43*Parâmetros!$B$15+O43*Parâmetros!$B$16+P43*Parâmetros!$B$17)/(5*SUM(Parâmetros!$B$12:$B$17)),0))</f>
        <v/>
      </c>
      <c r="R43" s="9" t="str">
        <f aca="false">IF(Q43="","",IF(Q43&gt;=Parâmetros!$B$20,"Modelar já",IF(Q43&gt;=Parâmetros!$B$21,"Monitorar","Descartar")))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7"/>
      <c r="J44" s="6"/>
      <c r="K44" s="8" t="str">
        <f aca="false">IF(D44="","",IF(D44&gt;=Parâmetros!$C$7,5,IF(D44&gt;=Parâmetros!$C$6,4,IF(D44&gt;=Parâmetros!$C$5,3,IF(D44&gt;=Parâmetros!$C$4,2,1)))))</f>
        <v/>
      </c>
      <c r="L44" s="8" t="str">
        <f aca="false">IF(E44="","",IF(E44&gt;=Parâmetros!$D$7,5,IF(E44&gt;=Parâmetros!$D$6,4,IF(E44&gt;=Parâmetros!$D$5,3,IF(E44&gt;=Parâmetros!$D$4,2,1)))))</f>
        <v/>
      </c>
      <c r="M44" s="8" t="str">
        <f aca="false">IF(F44="","",IF(F44&gt;=Parâmetros!$E$7,5,IF(F44&gt;=Parâmetros!$E$6,4,IF(F44&gt;=Parâmetros!$E$5,3,IF(F44&gt;=Parâmetros!$E$4,2,1)))))</f>
        <v/>
      </c>
      <c r="N44" s="8" t="str">
        <f aca="false">IF(G44="","",IF(G44&gt;=Parâmetros!$F$7,5,IF(G44&gt;=Parâmetros!$F$6,4,IF(G44&gt;=Parâmetros!$F$5,3,IF(G44&gt;=Parâmetros!$F$4,2,1)))))</f>
        <v/>
      </c>
      <c r="O44" s="8" t="str">
        <f aca="false">IF(H44="","",IF(H44="Sim",IF(I44&gt;=Parâmetros!$G$4,5,4),IF(I44&gt;=Parâmetros!$G$4,3,2)))</f>
        <v/>
      </c>
      <c r="P44" s="8" t="str">
        <f aca="false">IF(J44="","",J44)</f>
        <v/>
      </c>
      <c r="Q44" s="8" t="str">
        <f aca="false">IF(COUNT(K44:P44)&lt;6,"",ROUND(100*(K44*Parâmetros!$B$12+L44*Parâmetros!$B$13+M44*Parâmetros!$B$14+N44*Parâmetros!$B$15+O44*Parâmetros!$B$16+P44*Parâmetros!$B$17)/(5*SUM(Parâmetros!$B$12:$B$17)),0))</f>
        <v/>
      </c>
      <c r="R44" s="9" t="str">
        <f aca="false">IF(Q44="","",IF(Q44&gt;=Parâmetros!$B$20,"Modelar já",IF(Q44&gt;=Parâmetros!$B$21,"Monitorar","Descartar")))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7"/>
      <c r="J45" s="6"/>
      <c r="K45" s="8" t="str">
        <f aca="false">IF(D45="","",IF(D45&gt;=Parâmetros!$C$7,5,IF(D45&gt;=Parâmetros!$C$6,4,IF(D45&gt;=Parâmetros!$C$5,3,IF(D45&gt;=Parâmetros!$C$4,2,1)))))</f>
        <v/>
      </c>
      <c r="L45" s="8" t="str">
        <f aca="false">IF(E45="","",IF(E45&gt;=Parâmetros!$D$7,5,IF(E45&gt;=Parâmetros!$D$6,4,IF(E45&gt;=Parâmetros!$D$5,3,IF(E45&gt;=Parâmetros!$D$4,2,1)))))</f>
        <v/>
      </c>
      <c r="M45" s="8" t="str">
        <f aca="false">IF(F45="","",IF(F45&gt;=Parâmetros!$E$7,5,IF(F45&gt;=Parâmetros!$E$6,4,IF(F45&gt;=Parâmetros!$E$5,3,IF(F45&gt;=Parâmetros!$E$4,2,1)))))</f>
        <v/>
      </c>
      <c r="N45" s="8" t="str">
        <f aca="false">IF(G45="","",IF(G45&gt;=Parâmetros!$F$7,5,IF(G45&gt;=Parâmetros!$F$6,4,IF(G45&gt;=Parâmetros!$F$5,3,IF(G45&gt;=Parâmetros!$F$4,2,1)))))</f>
        <v/>
      </c>
      <c r="O45" s="8" t="str">
        <f aca="false">IF(H45="","",IF(H45="Sim",IF(I45&gt;=Parâmetros!$G$4,5,4),IF(I45&gt;=Parâmetros!$G$4,3,2)))</f>
        <v/>
      </c>
      <c r="P45" s="8" t="str">
        <f aca="false">IF(J45="","",J45)</f>
        <v/>
      </c>
      <c r="Q45" s="8" t="str">
        <f aca="false">IF(COUNT(K45:P45)&lt;6,"",ROUND(100*(K45*Parâmetros!$B$12+L45*Parâmetros!$B$13+M45*Parâmetros!$B$14+N45*Parâmetros!$B$15+O45*Parâmetros!$B$16+P45*Parâmetros!$B$17)/(5*SUM(Parâmetros!$B$12:$B$17)),0))</f>
        <v/>
      </c>
      <c r="R45" s="9" t="str">
        <f aca="false">IF(Q45="","",IF(Q45&gt;=Parâmetros!$B$20,"Modelar já",IF(Q45&gt;=Parâmetros!$B$21,"Monitorar","Descartar")))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7"/>
      <c r="J46" s="6"/>
      <c r="K46" s="8" t="str">
        <f aca="false">IF(D46="","",IF(D46&gt;=Parâmetros!$C$7,5,IF(D46&gt;=Parâmetros!$C$6,4,IF(D46&gt;=Parâmetros!$C$5,3,IF(D46&gt;=Parâmetros!$C$4,2,1)))))</f>
        <v/>
      </c>
      <c r="L46" s="8" t="str">
        <f aca="false">IF(E46="","",IF(E46&gt;=Parâmetros!$D$7,5,IF(E46&gt;=Parâmetros!$D$6,4,IF(E46&gt;=Parâmetros!$D$5,3,IF(E46&gt;=Parâmetros!$D$4,2,1)))))</f>
        <v/>
      </c>
      <c r="M46" s="8" t="str">
        <f aca="false">IF(F46="","",IF(F46&gt;=Parâmetros!$E$7,5,IF(F46&gt;=Parâmetros!$E$6,4,IF(F46&gt;=Parâmetros!$E$5,3,IF(F46&gt;=Parâmetros!$E$4,2,1)))))</f>
        <v/>
      </c>
      <c r="N46" s="8" t="str">
        <f aca="false">IF(G46="","",IF(G46&gt;=Parâmetros!$F$7,5,IF(G46&gt;=Parâmetros!$F$6,4,IF(G46&gt;=Parâmetros!$F$5,3,IF(G46&gt;=Parâmetros!$F$4,2,1)))))</f>
        <v/>
      </c>
      <c r="O46" s="8" t="str">
        <f aca="false">IF(H46="","",IF(H46="Sim",IF(I46&gt;=Parâmetros!$G$4,5,4),IF(I46&gt;=Parâmetros!$G$4,3,2)))</f>
        <v/>
      </c>
      <c r="P46" s="8" t="str">
        <f aca="false">IF(J46="","",J46)</f>
        <v/>
      </c>
      <c r="Q46" s="8" t="str">
        <f aca="false">IF(COUNT(K46:P46)&lt;6,"",ROUND(100*(K46*Parâmetros!$B$12+L46*Parâmetros!$B$13+M46*Parâmetros!$B$14+N46*Parâmetros!$B$15+O46*Parâmetros!$B$16+P46*Parâmetros!$B$17)/(5*SUM(Parâmetros!$B$12:$B$17)),0))</f>
        <v/>
      </c>
      <c r="R46" s="9" t="str">
        <f aca="false">IF(Q46="","",IF(Q46&gt;=Parâmetros!$B$20,"Modelar já",IF(Q46&gt;=Parâmetros!$B$21,"Monitorar","Descartar")))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7"/>
      <c r="J47" s="6"/>
      <c r="K47" s="8" t="str">
        <f aca="false">IF(D47="","",IF(D47&gt;=Parâmetros!$C$7,5,IF(D47&gt;=Parâmetros!$C$6,4,IF(D47&gt;=Parâmetros!$C$5,3,IF(D47&gt;=Parâmetros!$C$4,2,1)))))</f>
        <v/>
      </c>
      <c r="L47" s="8" t="str">
        <f aca="false">IF(E47="","",IF(E47&gt;=Parâmetros!$D$7,5,IF(E47&gt;=Parâmetros!$D$6,4,IF(E47&gt;=Parâmetros!$D$5,3,IF(E47&gt;=Parâmetros!$D$4,2,1)))))</f>
        <v/>
      </c>
      <c r="M47" s="8" t="str">
        <f aca="false">IF(F47="","",IF(F47&gt;=Parâmetros!$E$7,5,IF(F47&gt;=Parâmetros!$E$6,4,IF(F47&gt;=Parâmetros!$E$5,3,IF(F47&gt;=Parâmetros!$E$4,2,1)))))</f>
        <v/>
      </c>
      <c r="N47" s="8" t="str">
        <f aca="false">IF(G47="","",IF(G47&gt;=Parâmetros!$F$7,5,IF(G47&gt;=Parâmetros!$F$6,4,IF(G47&gt;=Parâmetros!$F$5,3,IF(G47&gt;=Parâmetros!$F$4,2,1)))))</f>
        <v/>
      </c>
      <c r="O47" s="8" t="str">
        <f aca="false">IF(H47="","",IF(H47="Sim",IF(I47&gt;=Parâmetros!$G$4,5,4),IF(I47&gt;=Parâmetros!$G$4,3,2)))</f>
        <v/>
      </c>
      <c r="P47" s="8" t="str">
        <f aca="false">IF(J47="","",J47)</f>
        <v/>
      </c>
      <c r="Q47" s="8" t="str">
        <f aca="false">IF(COUNT(K47:P47)&lt;6,"",ROUND(100*(K47*Parâmetros!$B$12+L47*Parâmetros!$B$13+M47*Parâmetros!$B$14+N47*Parâmetros!$B$15+O47*Parâmetros!$B$16+P47*Parâmetros!$B$17)/(5*SUM(Parâmetros!$B$12:$B$17)),0))</f>
        <v/>
      </c>
      <c r="R47" s="9" t="str">
        <f aca="false">IF(Q47="","",IF(Q47&gt;=Parâmetros!$B$20,"Modelar já",IF(Q47&gt;=Parâmetros!$B$21,"Monitorar","Descartar")))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7"/>
      <c r="J48" s="6"/>
      <c r="K48" s="8" t="str">
        <f aca="false">IF(D48="","",IF(D48&gt;=Parâmetros!$C$7,5,IF(D48&gt;=Parâmetros!$C$6,4,IF(D48&gt;=Parâmetros!$C$5,3,IF(D48&gt;=Parâmetros!$C$4,2,1)))))</f>
        <v/>
      </c>
      <c r="L48" s="8" t="str">
        <f aca="false">IF(E48="","",IF(E48&gt;=Parâmetros!$D$7,5,IF(E48&gt;=Parâmetros!$D$6,4,IF(E48&gt;=Parâmetros!$D$5,3,IF(E48&gt;=Parâmetros!$D$4,2,1)))))</f>
        <v/>
      </c>
      <c r="M48" s="8" t="str">
        <f aca="false">IF(F48="","",IF(F48&gt;=Parâmetros!$E$7,5,IF(F48&gt;=Parâmetros!$E$6,4,IF(F48&gt;=Parâmetros!$E$5,3,IF(F48&gt;=Parâmetros!$E$4,2,1)))))</f>
        <v/>
      </c>
      <c r="N48" s="8" t="str">
        <f aca="false">IF(G48="","",IF(G48&gt;=Parâmetros!$F$7,5,IF(G48&gt;=Parâmetros!$F$6,4,IF(G48&gt;=Parâmetros!$F$5,3,IF(G48&gt;=Parâmetros!$F$4,2,1)))))</f>
        <v/>
      </c>
      <c r="O48" s="8" t="str">
        <f aca="false">IF(H48="","",IF(H48="Sim",IF(I48&gt;=Parâmetros!$G$4,5,4),IF(I48&gt;=Parâmetros!$G$4,3,2)))</f>
        <v/>
      </c>
      <c r="P48" s="8" t="str">
        <f aca="false">IF(J48="","",J48)</f>
        <v/>
      </c>
      <c r="Q48" s="8" t="str">
        <f aca="false">IF(COUNT(K48:P48)&lt;6,"",ROUND(100*(K48*Parâmetros!$B$12+L48*Parâmetros!$B$13+M48*Parâmetros!$B$14+N48*Parâmetros!$B$15+O48*Parâmetros!$B$16+P48*Parâmetros!$B$17)/(5*SUM(Parâmetros!$B$12:$B$17)),0))</f>
        <v/>
      </c>
      <c r="R48" s="9" t="str">
        <f aca="false">IF(Q48="","",IF(Q48&gt;=Parâmetros!$B$20,"Modelar já",IF(Q48&gt;=Parâmetros!$B$21,"Monitorar","Descartar")))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7"/>
      <c r="J49" s="6"/>
      <c r="K49" s="8" t="str">
        <f aca="false">IF(D49="","",IF(D49&gt;=Parâmetros!$C$7,5,IF(D49&gt;=Parâmetros!$C$6,4,IF(D49&gt;=Parâmetros!$C$5,3,IF(D49&gt;=Parâmetros!$C$4,2,1)))))</f>
        <v/>
      </c>
      <c r="L49" s="8" t="str">
        <f aca="false">IF(E49="","",IF(E49&gt;=Parâmetros!$D$7,5,IF(E49&gt;=Parâmetros!$D$6,4,IF(E49&gt;=Parâmetros!$D$5,3,IF(E49&gt;=Parâmetros!$D$4,2,1)))))</f>
        <v/>
      </c>
      <c r="M49" s="8" t="str">
        <f aca="false">IF(F49="","",IF(F49&gt;=Parâmetros!$E$7,5,IF(F49&gt;=Parâmetros!$E$6,4,IF(F49&gt;=Parâmetros!$E$5,3,IF(F49&gt;=Parâmetros!$E$4,2,1)))))</f>
        <v/>
      </c>
      <c r="N49" s="8" t="str">
        <f aca="false">IF(G49="","",IF(G49&gt;=Parâmetros!$F$7,5,IF(G49&gt;=Parâmetros!$F$6,4,IF(G49&gt;=Parâmetros!$F$5,3,IF(G49&gt;=Parâmetros!$F$4,2,1)))))</f>
        <v/>
      </c>
      <c r="O49" s="8" t="str">
        <f aca="false">IF(H49="","",IF(H49="Sim",IF(I49&gt;=Parâmetros!$G$4,5,4),IF(I49&gt;=Parâmetros!$G$4,3,2)))</f>
        <v/>
      </c>
      <c r="P49" s="8" t="str">
        <f aca="false">IF(J49="","",J49)</f>
        <v/>
      </c>
      <c r="Q49" s="8" t="str">
        <f aca="false">IF(COUNT(K49:P49)&lt;6,"",ROUND(100*(K49*Parâmetros!$B$12+L49*Parâmetros!$B$13+M49*Parâmetros!$B$14+N49*Parâmetros!$B$15+O49*Parâmetros!$B$16+P49*Parâmetros!$B$17)/(5*SUM(Parâmetros!$B$12:$B$17)),0))</f>
        <v/>
      </c>
      <c r="R49" s="9" t="str">
        <f aca="false">IF(Q49="","",IF(Q49&gt;=Parâmetros!$B$20,"Modelar já",IF(Q49&gt;=Parâmetros!$B$21,"Monitorar","Descartar")))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7"/>
      <c r="J50" s="6"/>
      <c r="K50" s="8" t="str">
        <f aca="false">IF(D50="","",IF(D50&gt;=Parâmetros!$C$7,5,IF(D50&gt;=Parâmetros!$C$6,4,IF(D50&gt;=Parâmetros!$C$5,3,IF(D50&gt;=Parâmetros!$C$4,2,1)))))</f>
        <v/>
      </c>
      <c r="L50" s="8" t="str">
        <f aca="false">IF(E50="","",IF(E50&gt;=Parâmetros!$D$7,5,IF(E50&gt;=Parâmetros!$D$6,4,IF(E50&gt;=Parâmetros!$D$5,3,IF(E50&gt;=Parâmetros!$D$4,2,1)))))</f>
        <v/>
      </c>
      <c r="M50" s="8" t="str">
        <f aca="false">IF(F50="","",IF(F50&gt;=Parâmetros!$E$7,5,IF(F50&gt;=Parâmetros!$E$6,4,IF(F50&gt;=Parâmetros!$E$5,3,IF(F50&gt;=Parâmetros!$E$4,2,1)))))</f>
        <v/>
      </c>
      <c r="N50" s="8" t="str">
        <f aca="false">IF(G50="","",IF(G50&gt;=Parâmetros!$F$7,5,IF(G50&gt;=Parâmetros!$F$6,4,IF(G50&gt;=Parâmetros!$F$5,3,IF(G50&gt;=Parâmetros!$F$4,2,1)))))</f>
        <v/>
      </c>
      <c r="O50" s="8" t="str">
        <f aca="false">IF(H50="","",IF(H50="Sim",IF(I50&gt;=Parâmetros!$G$4,5,4),IF(I50&gt;=Parâmetros!$G$4,3,2)))</f>
        <v/>
      </c>
      <c r="P50" s="8" t="str">
        <f aca="false">IF(J50="","",J50)</f>
        <v/>
      </c>
      <c r="Q50" s="8" t="str">
        <f aca="false">IF(COUNT(K50:P50)&lt;6,"",ROUND(100*(K50*Parâmetros!$B$12+L50*Parâmetros!$B$13+M50*Parâmetros!$B$14+N50*Parâmetros!$B$15+O50*Parâmetros!$B$16+P50*Parâmetros!$B$17)/(5*SUM(Parâmetros!$B$12:$B$17)),0))</f>
        <v/>
      </c>
      <c r="R50" s="9" t="str">
        <f aca="false">IF(Q50="","",IF(Q50&gt;=Parâmetros!$B$20,"Modelar já",IF(Q50&gt;=Parâmetros!$B$21,"Monitorar","Descartar")))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7"/>
      <c r="J51" s="6"/>
      <c r="K51" s="8" t="str">
        <f aca="false">IF(D51="","",IF(D51&gt;=Parâmetros!$C$7,5,IF(D51&gt;=Parâmetros!$C$6,4,IF(D51&gt;=Parâmetros!$C$5,3,IF(D51&gt;=Parâmetros!$C$4,2,1)))))</f>
        <v/>
      </c>
      <c r="L51" s="8" t="str">
        <f aca="false">IF(E51="","",IF(E51&gt;=Parâmetros!$D$7,5,IF(E51&gt;=Parâmetros!$D$6,4,IF(E51&gt;=Parâmetros!$D$5,3,IF(E51&gt;=Parâmetros!$D$4,2,1)))))</f>
        <v/>
      </c>
      <c r="M51" s="8" t="str">
        <f aca="false">IF(F51="","",IF(F51&gt;=Parâmetros!$E$7,5,IF(F51&gt;=Parâmetros!$E$6,4,IF(F51&gt;=Parâmetros!$E$5,3,IF(F51&gt;=Parâmetros!$E$4,2,1)))))</f>
        <v/>
      </c>
      <c r="N51" s="8" t="str">
        <f aca="false">IF(G51="","",IF(G51&gt;=Parâmetros!$F$7,5,IF(G51&gt;=Parâmetros!$F$6,4,IF(G51&gt;=Parâmetros!$F$5,3,IF(G51&gt;=Parâmetros!$F$4,2,1)))))</f>
        <v/>
      </c>
      <c r="O51" s="8" t="str">
        <f aca="false">IF(H51="","",IF(H51="Sim",IF(I51&gt;=Parâmetros!$G$4,5,4),IF(I51&gt;=Parâmetros!$G$4,3,2)))</f>
        <v/>
      </c>
      <c r="P51" s="8" t="str">
        <f aca="false">IF(J51="","",J51)</f>
        <v/>
      </c>
      <c r="Q51" s="8" t="str">
        <f aca="false">IF(COUNT(K51:P51)&lt;6,"",ROUND(100*(K51*Parâmetros!$B$12+L51*Parâmetros!$B$13+M51*Parâmetros!$B$14+N51*Parâmetros!$B$15+O51*Parâmetros!$B$16+P51*Parâmetros!$B$17)/(5*SUM(Parâmetros!$B$12:$B$17)),0))</f>
        <v/>
      </c>
      <c r="R51" s="9" t="str">
        <f aca="false">IF(Q51="","",IF(Q51&gt;=Parâmetros!$B$20,"Modelar já",IF(Q51&gt;=Parâmetros!$B$21,"Monitorar","Descartar")))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7"/>
      <c r="J52" s="6"/>
      <c r="K52" s="8" t="str">
        <f aca="false">IF(D52="","",IF(D52&gt;=Parâmetros!$C$7,5,IF(D52&gt;=Parâmetros!$C$6,4,IF(D52&gt;=Parâmetros!$C$5,3,IF(D52&gt;=Parâmetros!$C$4,2,1)))))</f>
        <v/>
      </c>
      <c r="L52" s="8" t="str">
        <f aca="false">IF(E52="","",IF(E52&gt;=Parâmetros!$D$7,5,IF(E52&gt;=Parâmetros!$D$6,4,IF(E52&gt;=Parâmetros!$D$5,3,IF(E52&gt;=Parâmetros!$D$4,2,1)))))</f>
        <v/>
      </c>
      <c r="M52" s="8" t="str">
        <f aca="false">IF(F52="","",IF(F52&gt;=Parâmetros!$E$7,5,IF(F52&gt;=Parâmetros!$E$6,4,IF(F52&gt;=Parâmetros!$E$5,3,IF(F52&gt;=Parâmetros!$E$4,2,1)))))</f>
        <v/>
      </c>
      <c r="N52" s="8" t="str">
        <f aca="false">IF(G52="","",IF(G52&gt;=Parâmetros!$F$7,5,IF(G52&gt;=Parâmetros!$F$6,4,IF(G52&gt;=Parâmetros!$F$5,3,IF(G52&gt;=Parâmetros!$F$4,2,1)))))</f>
        <v/>
      </c>
      <c r="O52" s="8" t="str">
        <f aca="false">IF(H52="","",IF(H52="Sim",IF(I52&gt;=Parâmetros!$G$4,5,4),IF(I52&gt;=Parâmetros!$G$4,3,2)))</f>
        <v/>
      </c>
      <c r="P52" s="8" t="str">
        <f aca="false">IF(J52="","",J52)</f>
        <v/>
      </c>
      <c r="Q52" s="8" t="str">
        <f aca="false">IF(COUNT(K52:P52)&lt;6,"",ROUND(100*(K52*Parâmetros!$B$12+L52*Parâmetros!$B$13+M52*Parâmetros!$B$14+N52*Parâmetros!$B$15+O52*Parâmetros!$B$16+P52*Parâmetros!$B$17)/(5*SUM(Parâmetros!$B$12:$B$17)),0))</f>
        <v/>
      </c>
      <c r="R52" s="9" t="str">
        <f aca="false">IF(Q52="","",IF(Q52&gt;=Parâmetros!$B$20,"Modelar já",IF(Q52&gt;=Parâmetros!$B$21,"Monitorar","Descartar")))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7"/>
      <c r="J53" s="6"/>
      <c r="K53" s="8" t="str">
        <f aca="false">IF(D53="","",IF(D53&gt;=Parâmetros!$C$7,5,IF(D53&gt;=Parâmetros!$C$6,4,IF(D53&gt;=Parâmetros!$C$5,3,IF(D53&gt;=Parâmetros!$C$4,2,1)))))</f>
        <v/>
      </c>
      <c r="L53" s="8" t="str">
        <f aca="false">IF(E53="","",IF(E53&gt;=Parâmetros!$D$7,5,IF(E53&gt;=Parâmetros!$D$6,4,IF(E53&gt;=Parâmetros!$D$5,3,IF(E53&gt;=Parâmetros!$D$4,2,1)))))</f>
        <v/>
      </c>
      <c r="M53" s="8" t="str">
        <f aca="false">IF(F53="","",IF(F53&gt;=Parâmetros!$E$7,5,IF(F53&gt;=Parâmetros!$E$6,4,IF(F53&gt;=Parâmetros!$E$5,3,IF(F53&gt;=Parâmetros!$E$4,2,1)))))</f>
        <v/>
      </c>
      <c r="N53" s="8" t="str">
        <f aca="false">IF(G53="","",IF(G53&gt;=Parâmetros!$F$7,5,IF(G53&gt;=Parâmetros!$F$6,4,IF(G53&gt;=Parâmetros!$F$5,3,IF(G53&gt;=Parâmetros!$F$4,2,1)))))</f>
        <v/>
      </c>
      <c r="O53" s="8" t="str">
        <f aca="false">IF(H53="","",IF(H53="Sim",IF(I53&gt;=Parâmetros!$G$4,5,4),IF(I53&gt;=Parâmetros!$G$4,3,2)))</f>
        <v/>
      </c>
      <c r="P53" s="8" t="str">
        <f aca="false">IF(J53="","",J53)</f>
        <v/>
      </c>
      <c r="Q53" s="8" t="str">
        <f aca="false">IF(COUNT(K53:P53)&lt;6,"",ROUND(100*(K53*Parâmetros!$B$12+L53*Parâmetros!$B$13+M53*Parâmetros!$B$14+N53*Parâmetros!$B$15+O53*Parâmetros!$B$16+P53*Parâmetros!$B$17)/(5*SUM(Parâmetros!$B$12:$B$17)),0))</f>
        <v/>
      </c>
      <c r="R53" s="9" t="str">
        <f aca="false">IF(Q53="","",IF(Q53&gt;=Parâmetros!$B$20,"Modelar já",IF(Q53&gt;=Parâmetros!$B$21,"Monitorar","Descartar")))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7"/>
      <c r="J54" s="6"/>
      <c r="K54" s="8" t="str">
        <f aca="false">IF(D54="","",IF(D54&gt;=Parâmetros!$C$7,5,IF(D54&gt;=Parâmetros!$C$6,4,IF(D54&gt;=Parâmetros!$C$5,3,IF(D54&gt;=Parâmetros!$C$4,2,1)))))</f>
        <v/>
      </c>
      <c r="L54" s="8" t="str">
        <f aca="false">IF(E54="","",IF(E54&gt;=Parâmetros!$D$7,5,IF(E54&gt;=Parâmetros!$D$6,4,IF(E54&gt;=Parâmetros!$D$5,3,IF(E54&gt;=Parâmetros!$D$4,2,1)))))</f>
        <v/>
      </c>
      <c r="M54" s="8" t="str">
        <f aca="false">IF(F54="","",IF(F54&gt;=Parâmetros!$E$7,5,IF(F54&gt;=Parâmetros!$E$6,4,IF(F54&gt;=Parâmetros!$E$5,3,IF(F54&gt;=Parâmetros!$E$4,2,1)))))</f>
        <v/>
      </c>
      <c r="N54" s="8" t="str">
        <f aca="false">IF(G54="","",IF(G54&gt;=Parâmetros!$F$7,5,IF(G54&gt;=Parâmetros!$F$6,4,IF(G54&gt;=Parâmetros!$F$5,3,IF(G54&gt;=Parâmetros!$F$4,2,1)))))</f>
        <v/>
      </c>
      <c r="O54" s="8" t="str">
        <f aca="false">IF(H54="","",IF(H54="Sim",IF(I54&gt;=Parâmetros!$G$4,5,4),IF(I54&gt;=Parâmetros!$G$4,3,2)))</f>
        <v/>
      </c>
      <c r="P54" s="8" t="str">
        <f aca="false">IF(J54="","",J54)</f>
        <v/>
      </c>
      <c r="Q54" s="8" t="str">
        <f aca="false">IF(COUNT(K54:P54)&lt;6,"",ROUND(100*(K54*Parâmetros!$B$12+L54*Parâmetros!$B$13+M54*Parâmetros!$B$14+N54*Parâmetros!$B$15+O54*Parâmetros!$B$16+P54*Parâmetros!$B$17)/(5*SUM(Parâmetros!$B$12:$B$17)),0))</f>
        <v/>
      </c>
      <c r="R54" s="9" t="str">
        <f aca="false">IF(Q54="","",IF(Q54&gt;=Parâmetros!$B$20,"Modelar já",IF(Q54&gt;=Parâmetros!$B$21,"Monitorar","Descartar")))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7"/>
      <c r="J55" s="6"/>
      <c r="K55" s="8" t="str">
        <f aca="false">IF(D55="","",IF(D55&gt;=Parâmetros!$C$7,5,IF(D55&gt;=Parâmetros!$C$6,4,IF(D55&gt;=Parâmetros!$C$5,3,IF(D55&gt;=Parâmetros!$C$4,2,1)))))</f>
        <v/>
      </c>
      <c r="L55" s="8" t="str">
        <f aca="false">IF(E55="","",IF(E55&gt;=Parâmetros!$D$7,5,IF(E55&gt;=Parâmetros!$D$6,4,IF(E55&gt;=Parâmetros!$D$5,3,IF(E55&gt;=Parâmetros!$D$4,2,1)))))</f>
        <v/>
      </c>
      <c r="M55" s="8" t="str">
        <f aca="false">IF(F55="","",IF(F55&gt;=Parâmetros!$E$7,5,IF(F55&gt;=Parâmetros!$E$6,4,IF(F55&gt;=Parâmetros!$E$5,3,IF(F55&gt;=Parâmetros!$E$4,2,1)))))</f>
        <v/>
      </c>
      <c r="N55" s="8" t="str">
        <f aca="false">IF(G55="","",IF(G55&gt;=Parâmetros!$F$7,5,IF(G55&gt;=Parâmetros!$F$6,4,IF(G55&gt;=Parâmetros!$F$5,3,IF(G55&gt;=Parâmetros!$F$4,2,1)))))</f>
        <v/>
      </c>
      <c r="O55" s="8" t="str">
        <f aca="false">IF(H55="","",IF(H55="Sim",IF(I55&gt;=Parâmetros!$G$4,5,4),IF(I55&gt;=Parâmetros!$G$4,3,2)))</f>
        <v/>
      </c>
      <c r="P55" s="8" t="str">
        <f aca="false">IF(J55="","",J55)</f>
        <v/>
      </c>
      <c r="Q55" s="8" t="str">
        <f aca="false">IF(COUNT(K55:P55)&lt;6,"",ROUND(100*(K55*Parâmetros!$B$12+L55*Parâmetros!$B$13+M55*Parâmetros!$B$14+N55*Parâmetros!$B$15+O55*Parâmetros!$B$16+P55*Parâmetros!$B$17)/(5*SUM(Parâmetros!$B$12:$B$17)),0))</f>
        <v/>
      </c>
      <c r="R55" s="9" t="str">
        <f aca="false">IF(Q55="","",IF(Q55&gt;=Parâmetros!$B$20,"Modelar já",IF(Q55&gt;=Parâmetros!$B$21,"Monitorar","Descartar")))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7"/>
      <c r="J56" s="6"/>
      <c r="K56" s="8" t="str">
        <f aca="false">IF(D56="","",IF(D56&gt;=Parâmetros!$C$7,5,IF(D56&gt;=Parâmetros!$C$6,4,IF(D56&gt;=Parâmetros!$C$5,3,IF(D56&gt;=Parâmetros!$C$4,2,1)))))</f>
        <v/>
      </c>
      <c r="L56" s="8" t="str">
        <f aca="false">IF(E56="","",IF(E56&gt;=Parâmetros!$D$7,5,IF(E56&gt;=Parâmetros!$D$6,4,IF(E56&gt;=Parâmetros!$D$5,3,IF(E56&gt;=Parâmetros!$D$4,2,1)))))</f>
        <v/>
      </c>
      <c r="M56" s="8" t="str">
        <f aca="false">IF(F56="","",IF(F56&gt;=Parâmetros!$E$7,5,IF(F56&gt;=Parâmetros!$E$6,4,IF(F56&gt;=Parâmetros!$E$5,3,IF(F56&gt;=Parâmetros!$E$4,2,1)))))</f>
        <v/>
      </c>
      <c r="N56" s="8" t="str">
        <f aca="false">IF(G56="","",IF(G56&gt;=Parâmetros!$F$7,5,IF(G56&gt;=Parâmetros!$F$6,4,IF(G56&gt;=Parâmetros!$F$5,3,IF(G56&gt;=Parâmetros!$F$4,2,1)))))</f>
        <v/>
      </c>
      <c r="O56" s="8" t="str">
        <f aca="false">IF(H56="","",IF(H56="Sim",IF(I56&gt;=Parâmetros!$G$4,5,4),IF(I56&gt;=Parâmetros!$G$4,3,2)))</f>
        <v/>
      </c>
      <c r="P56" s="8" t="str">
        <f aca="false">IF(J56="","",J56)</f>
        <v/>
      </c>
      <c r="Q56" s="8" t="str">
        <f aca="false">IF(COUNT(K56:P56)&lt;6,"",ROUND(100*(K56*Parâmetros!$B$12+L56*Parâmetros!$B$13+M56*Parâmetros!$B$14+N56*Parâmetros!$B$15+O56*Parâmetros!$B$16+P56*Parâmetros!$B$17)/(5*SUM(Parâmetros!$B$12:$B$17)),0))</f>
        <v/>
      </c>
      <c r="R56" s="9" t="str">
        <f aca="false">IF(Q56="","",IF(Q56&gt;=Parâmetros!$B$20,"Modelar já",IF(Q56&gt;=Parâmetros!$B$21,"Monitorar","Descartar")))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7"/>
      <c r="J57" s="6"/>
      <c r="K57" s="8" t="str">
        <f aca="false">IF(D57="","",IF(D57&gt;=Parâmetros!$C$7,5,IF(D57&gt;=Parâmetros!$C$6,4,IF(D57&gt;=Parâmetros!$C$5,3,IF(D57&gt;=Parâmetros!$C$4,2,1)))))</f>
        <v/>
      </c>
      <c r="L57" s="8" t="str">
        <f aca="false">IF(E57="","",IF(E57&gt;=Parâmetros!$D$7,5,IF(E57&gt;=Parâmetros!$D$6,4,IF(E57&gt;=Parâmetros!$D$5,3,IF(E57&gt;=Parâmetros!$D$4,2,1)))))</f>
        <v/>
      </c>
      <c r="M57" s="8" t="str">
        <f aca="false">IF(F57="","",IF(F57&gt;=Parâmetros!$E$7,5,IF(F57&gt;=Parâmetros!$E$6,4,IF(F57&gt;=Parâmetros!$E$5,3,IF(F57&gt;=Parâmetros!$E$4,2,1)))))</f>
        <v/>
      </c>
      <c r="N57" s="8" t="str">
        <f aca="false">IF(G57="","",IF(G57&gt;=Parâmetros!$F$7,5,IF(G57&gt;=Parâmetros!$F$6,4,IF(G57&gt;=Parâmetros!$F$5,3,IF(G57&gt;=Parâmetros!$F$4,2,1)))))</f>
        <v/>
      </c>
      <c r="O57" s="8" t="str">
        <f aca="false">IF(H57="","",IF(H57="Sim",IF(I57&gt;=Parâmetros!$G$4,5,4),IF(I57&gt;=Parâmetros!$G$4,3,2)))</f>
        <v/>
      </c>
      <c r="P57" s="8" t="str">
        <f aca="false">IF(J57="","",J57)</f>
        <v/>
      </c>
      <c r="Q57" s="8" t="str">
        <f aca="false">IF(COUNT(K57:P57)&lt;6,"",ROUND(100*(K57*Parâmetros!$B$12+L57*Parâmetros!$B$13+M57*Parâmetros!$B$14+N57*Parâmetros!$B$15+O57*Parâmetros!$B$16+P57*Parâmetros!$B$17)/(5*SUM(Parâmetros!$B$12:$B$17)),0))</f>
        <v/>
      </c>
      <c r="R57" s="9" t="str">
        <f aca="false">IF(Q57="","",IF(Q57&gt;=Parâmetros!$B$20,"Modelar já",IF(Q57&gt;=Parâmetros!$B$21,"Monitorar","Descartar")))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7"/>
      <c r="J58" s="6"/>
      <c r="K58" s="8" t="str">
        <f aca="false">IF(D58="","",IF(D58&gt;=Parâmetros!$C$7,5,IF(D58&gt;=Parâmetros!$C$6,4,IF(D58&gt;=Parâmetros!$C$5,3,IF(D58&gt;=Parâmetros!$C$4,2,1)))))</f>
        <v/>
      </c>
      <c r="L58" s="8" t="str">
        <f aca="false">IF(E58="","",IF(E58&gt;=Parâmetros!$D$7,5,IF(E58&gt;=Parâmetros!$D$6,4,IF(E58&gt;=Parâmetros!$D$5,3,IF(E58&gt;=Parâmetros!$D$4,2,1)))))</f>
        <v/>
      </c>
      <c r="M58" s="8" t="str">
        <f aca="false">IF(F58="","",IF(F58&gt;=Parâmetros!$E$7,5,IF(F58&gt;=Parâmetros!$E$6,4,IF(F58&gt;=Parâmetros!$E$5,3,IF(F58&gt;=Parâmetros!$E$4,2,1)))))</f>
        <v/>
      </c>
      <c r="N58" s="8" t="str">
        <f aca="false">IF(G58="","",IF(G58&gt;=Parâmetros!$F$7,5,IF(G58&gt;=Parâmetros!$F$6,4,IF(G58&gt;=Parâmetros!$F$5,3,IF(G58&gt;=Parâmetros!$F$4,2,1)))))</f>
        <v/>
      </c>
      <c r="O58" s="8" t="str">
        <f aca="false">IF(H58="","",IF(H58="Sim",IF(I58&gt;=Parâmetros!$G$4,5,4),IF(I58&gt;=Parâmetros!$G$4,3,2)))</f>
        <v/>
      </c>
      <c r="P58" s="8" t="str">
        <f aca="false">IF(J58="","",J58)</f>
        <v/>
      </c>
      <c r="Q58" s="8" t="str">
        <f aca="false">IF(COUNT(K58:P58)&lt;6,"",ROUND(100*(K58*Parâmetros!$B$12+L58*Parâmetros!$B$13+M58*Parâmetros!$B$14+N58*Parâmetros!$B$15+O58*Parâmetros!$B$16+P58*Parâmetros!$B$17)/(5*SUM(Parâmetros!$B$12:$B$17)),0))</f>
        <v/>
      </c>
      <c r="R58" s="9" t="str">
        <f aca="false">IF(Q58="","",IF(Q58&gt;=Parâmetros!$B$20,"Modelar já",IF(Q58&gt;=Parâmetros!$B$21,"Monitorar","Descartar")))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7"/>
      <c r="J59" s="6"/>
      <c r="K59" s="8" t="str">
        <f aca="false">IF(D59="","",IF(D59&gt;=Parâmetros!$C$7,5,IF(D59&gt;=Parâmetros!$C$6,4,IF(D59&gt;=Parâmetros!$C$5,3,IF(D59&gt;=Parâmetros!$C$4,2,1)))))</f>
        <v/>
      </c>
      <c r="L59" s="8" t="str">
        <f aca="false">IF(E59="","",IF(E59&gt;=Parâmetros!$D$7,5,IF(E59&gt;=Parâmetros!$D$6,4,IF(E59&gt;=Parâmetros!$D$5,3,IF(E59&gt;=Parâmetros!$D$4,2,1)))))</f>
        <v/>
      </c>
      <c r="M59" s="8" t="str">
        <f aca="false">IF(F59="","",IF(F59&gt;=Parâmetros!$E$7,5,IF(F59&gt;=Parâmetros!$E$6,4,IF(F59&gt;=Parâmetros!$E$5,3,IF(F59&gt;=Parâmetros!$E$4,2,1)))))</f>
        <v/>
      </c>
      <c r="N59" s="8" t="str">
        <f aca="false">IF(G59="","",IF(G59&gt;=Parâmetros!$F$7,5,IF(G59&gt;=Parâmetros!$F$6,4,IF(G59&gt;=Parâmetros!$F$5,3,IF(G59&gt;=Parâmetros!$F$4,2,1)))))</f>
        <v/>
      </c>
      <c r="O59" s="8" t="str">
        <f aca="false">IF(H59="","",IF(H59="Sim",IF(I59&gt;=Parâmetros!$G$4,5,4),IF(I59&gt;=Parâmetros!$G$4,3,2)))</f>
        <v/>
      </c>
      <c r="P59" s="8" t="str">
        <f aca="false">IF(J59="","",J59)</f>
        <v/>
      </c>
      <c r="Q59" s="8" t="str">
        <f aca="false">IF(COUNT(K59:P59)&lt;6,"",ROUND(100*(K59*Parâmetros!$B$12+L59*Parâmetros!$B$13+M59*Parâmetros!$B$14+N59*Parâmetros!$B$15+O59*Parâmetros!$B$16+P59*Parâmetros!$B$17)/(5*SUM(Parâmetros!$B$12:$B$17)),0))</f>
        <v/>
      </c>
      <c r="R59" s="9" t="str">
        <f aca="false">IF(Q59="","",IF(Q59&gt;=Parâmetros!$B$20,"Modelar já",IF(Q59&gt;=Parâmetros!$B$21,"Monitorar","Descartar")))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7"/>
      <c r="J60" s="6"/>
      <c r="K60" s="8" t="str">
        <f aca="false">IF(D60="","",IF(D60&gt;=Parâmetros!$C$7,5,IF(D60&gt;=Parâmetros!$C$6,4,IF(D60&gt;=Parâmetros!$C$5,3,IF(D60&gt;=Parâmetros!$C$4,2,1)))))</f>
        <v/>
      </c>
      <c r="L60" s="8" t="str">
        <f aca="false">IF(E60="","",IF(E60&gt;=Parâmetros!$D$7,5,IF(E60&gt;=Parâmetros!$D$6,4,IF(E60&gt;=Parâmetros!$D$5,3,IF(E60&gt;=Parâmetros!$D$4,2,1)))))</f>
        <v/>
      </c>
      <c r="M60" s="8" t="str">
        <f aca="false">IF(F60="","",IF(F60&gt;=Parâmetros!$E$7,5,IF(F60&gt;=Parâmetros!$E$6,4,IF(F60&gt;=Parâmetros!$E$5,3,IF(F60&gt;=Parâmetros!$E$4,2,1)))))</f>
        <v/>
      </c>
      <c r="N60" s="8" t="str">
        <f aca="false">IF(G60="","",IF(G60&gt;=Parâmetros!$F$7,5,IF(G60&gt;=Parâmetros!$F$6,4,IF(G60&gt;=Parâmetros!$F$5,3,IF(G60&gt;=Parâmetros!$F$4,2,1)))))</f>
        <v/>
      </c>
      <c r="O60" s="8" t="str">
        <f aca="false">IF(H60="","",IF(H60="Sim",IF(I60&gt;=Parâmetros!$G$4,5,4),IF(I60&gt;=Parâmetros!$G$4,3,2)))</f>
        <v/>
      </c>
      <c r="P60" s="8" t="str">
        <f aca="false">IF(J60="","",J60)</f>
        <v/>
      </c>
      <c r="Q60" s="8" t="str">
        <f aca="false">IF(COUNT(K60:P60)&lt;6,"",ROUND(100*(K60*Parâmetros!$B$12+L60*Parâmetros!$B$13+M60*Parâmetros!$B$14+N60*Parâmetros!$B$15+O60*Parâmetros!$B$16+P60*Parâmetros!$B$17)/(5*SUM(Parâmetros!$B$12:$B$17)),0))</f>
        <v/>
      </c>
      <c r="R60" s="9" t="str">
        <f aca="false">IF(Q60="","",IF(Q60&gt;=Parâmetros!$B$20,"Modelar já",IF(Q60&gt;=Parâmetros!$B$21,"Monitorar","Descartar")))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7"/>
      <c r="J61" s="6"/>
      <c r="K61" s="8" t="str">
        <f aca="false">IF(D61="","",IF(D61&gt;=Parâmetros!$C$7,5,IF(D61&gt;=Parâmetros!$C$6,4,IF(D61&gt;=Parâmetros!$C$5,3,IF(D61&gt;=Parâmetros!$C$4,2,1)))))</f>
        <v/>
      </c>
      <c r="L61" s="8" t="str">
        <f aca="false">IF(E61="","",IF(E61&gt;=Parâmetros!$D$7,5,IF(E61&gt;=Parâmetros!$D$6,4,IF(E61&gt;=Parâmetros!$D$5,3,IF(E61&gt;=Parâmetros!$D$4,2,1)))))</f>
        <v/>
      </c>
      <c r="M61" s="8" t="str">
        <f aca="false">IF(F61="","",IF(F61&gt;=Parâmetros!$E$7,5,IF(F61&gt;=Parâmetros!$E$6,4,IF(F61&gt;=Parâmetros!$E$5,3,IF(F61&gt;=Parâmetros!$E$4,2,1)))))</f>
        <v/>
      </c>
      <c r="N61" s="8" t="str">
        <f aca="false">IF(G61="","",IF(G61&gt;=Parâmetros!$F$7,5,IF(G61&gt;=Parâmetros!$F$6,4,IF(G61&gt;=Parâmetros!$F$5,3,IF(G61&gt;=Parâmetros!$F$4,2,1)))))</f>
        <v/>
      </c>
      <c r="O61" s="8" t="str">
        <f aca="false">IF(H61="","",IF(H61="Sim",IF(I61&gt;=Parâmetros!$G$4,5,4),IF(I61&gt;=Parâmetros!$G$4,3,2)))</f>
        <v/>
      </c>
      <c r="P61" s="8" t="str">
        <f aca="false">IF(J61="","",J61)</f>
        <v/>
      </c>
      <c r="Q61" s="8" t="str">
        <f aca="false">IF(COUNT(K61:P61)&lt;6,"",ROUND(100*(K61*Parâmetros!$B$12+L61*Parâmetros!$B$13+M61*Parâmetros!$B$14+N61*Parâmetros!$B$15+O61*Parâmetros!$B$16+P61*Parâmetros!$B$17)/(5*SUM(Parâmetros!$B$12:$B$17)),0))</f>
        <v/>
      </c>
      <c r="R61" s="9" t="str">
        <f aca="false">IF(Q61="","",IF(Q61&gt;=Parâmetros!$B$20,"Modelar já",IF(Q61&gt;=Parâmetros!$B$21,"Monitorar","Descartar")))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7"/>
      <c r="J62" s="6"/>
      <c r="K62" s="8" t="str">
        <f aca="false">IF(D62="","",IF(D62&gt;=Parâmetros!$C$7,5,IF(D62&gt;=Parâmetros!$C$6,4,IF(D62&gt;=Parâmetros!$C$5,3,IF(D62&gt;=Parâmetros!$C$4,2,1)))))</f>
        <v/>
      </c>
      <c r="L62" s="8" t="str">
        <f aca="false">IF(E62="","",IF(E62&gt;=Parâmetros!$D$7,5,IF(E62&gt;=Parâmetros!$D$6,4,IF(E62&gt;=Parâmetros!$D$5,3,IF(E62&gt;=Parâmetros!$D$4,2,1)))))</f>
        <v/>
      </c>
      <c r="M62" s="8" t="str">
        <f aca="false">IF(F62="","",IF(F62&gt;=Parâmetros!$E$7,5,IF(F62&gt;=Parâmetros!$E$6,4,IF(F62&gt;=Parâmetros!$E$5,3,IF(F62&gt;=Parâmetros!$E$4,2,1)))))</f>
        <v/>
      </c>
      <c r="N62" s="8" t="str">
        <f aca="false">IF(G62="","",IF(G62&gt;=Parâmetros!$F$7,5,IF(G62&gt;=Parâmetros!$F$6,4,IF(G62&gt;=Parâmetros!$F$5,3,IF(G62&gt;=Parâmetros!$F$4,2,1)))))</f>
        <v/>
      </c>
      <c r="O62" s="8" t="str">
        <f aca="false">IF(H62="","",IF(H62="Sim",IF(I62&gt;=Parâmetros!$G$4,5,4),IF(I62&gt;=Parâmetros!$G$4,3,2)))</f>
        <v/>
      </c>
      <c r="P62" s="8" t="str">
        <f aca="false">IF(J62="","",J62)</f>
        <v/>
      </c>
      <c r="Q62" s="8" t="str">
        <f aca="false">IF(COUNT(K62:P62)&lt;6,"",ROUND(100*(K62*Parâmetros!$B$12+L62*Parâmetros!$B$13+M62*Parâmetros!$B$14+N62*Parâmetros!$B$15+O62*Parâmetros!$B$16+P62*Parâmetros!$B$17)/(5*SUM(Parâmetros!$B$12:$B$17)),0))</f>
        <v/>
      </c>
      <c r="R62" s="9" t="str">
        <f aca="false">IF(Q62="","",IF(Q62&gt;=Parâmetros!$B$20,"Modelar já",IF(Q62&gt;=Parâmetros!$B$21,"Monitorar","Descartar")))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7"/>
      <c r="J63" s="6"/>
      <c r="K63" s="8" t="str">
        <f aca="false">IF(D63="","",IF(D63&gt;=Parâmetros!$C$7,5,IF(D63&gt;=Parâmetros!$C$6,4,IF(D63&gt;=Parâmetros!$C$5,3,IF(D63&gt;=Parâmetros!$C$4,2,1)))))</f>
        <v/>
      </c>
      <c r="L63" s="8" t="str">
        <f aca="false">IF(E63="","",IF(E63&gt;=Parâmetros!$D$7,5,IF(E63&gt;=Parâmetros!$D$6,4,IF(E63&gt;=Parâmetros!$D$5,3,IF(E63&gt;=Parâmetros!$D$4,2,1)))))</f>
        <v/>
      </c>
      <c r="M63" s="8" t="str">
        <f aca="false">IF(F63="","",IF(F63&gt;=Parâmetros!$E$7,5,IF(F63&gt;=Parâmetros!$E$6,4,IF(F63&gt;=Parâmetros!$E$5,3,IF(F63&gt;=Parâmetros!$E$4,2,1)))))</f>
        <v/>
      </c>
      <c r="N63" s="8" t="str">
        <f aca="false">IF(G63="","",IF(G63&gt;=Parâmetros!$F$7,5,IF(G63&gt;=Parâmetros!$F$6,4,IF(G63&gt;=Parâmetros!$F$5,3,IF(G63&gt;=Parâmetros!$F$4,2,1)))))</f>
        <v/>
      </c>
      <c r="O63" s="8" t="str">
        <f aca="false">IF(H63="","",IF(H63="Sim",IF(I63&gt;=Parâmetros!$G$4,5,4),IF(I63&gt;=Parâmetros!$G$4,3,2)))</f>
        <v/>
      </c>
      <c r="P63" s="8" t="str">
        <f aca="false">IF(J63="","",J63)</f>
        <v/>
      </c>
      <c r="Q63" s="8" t="str">
        <f aca="false">IF(COUNT(K63:P63)&lt;6,"",ROUND(100*(K63*Parâmetros!$B$12+L63*Parâmetros!$B$13+M63*Parâmetros!$B$14+N63*Parâmetros!$B$15+O63*Parâmetros!$B$16+P63*Parâmetros!$B$17)/(5*SUM(Parâmetros!$B$12:$B$17)),0))</f>
        <v/>
      </c>
      <c r="R63" s="9" t="str">
        <f aca="false">IF(Q63="","",IF(Q63&gt;=Parâmetros!$B$20,"Modelar já",IF(Q63&gt;=Parâmetros!$B$21,"Monitorar","Descartar")))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7"/>
      <c r="J64" s="6"/>
      <c r="K64" s="8" t="str">
        <f aca="false">IF(D64="","",IF(D64&gt;=Parâmetros!$C$7,5,IF(D64&gt;=Parâmetros!$C$6,4,IF(D64&gt;=Parâmetros!$C$5,3,IF(D64&gt;=Parâmetros!$C$4,2,1)))))</f>
        <v/>
      </c>
      <c r="L64" s="8" t="str">
        <f aca="false">IF(E64="","",IF(E64&gt;=Parâmetros!$D$7,5,IF(E64&gt;=Parâmetros!$D$6,4,IF(E64&gt;=Parâmetros!$D$5,3,IF(E64&gt;=Parâmetros!$D$4,2,1)))))</f>
        <v/>
      </c>
      <c r="M64" s="8" t="str">
        <f aca="false">IF(F64="","",IF(F64&gt;=Parâmetros!$E$7,5,IF(F64&gt;=Parâmetros!$E$6,4,IF(F64&gt;=Parâmetros!$E$5,3,IF(F64&gt;=Parâmetros!$E$4,2,1)))))</f>
        <v/>
      </c>
      <c r="N64" s="8" t="str">
        <f aca="false">IF(G64="","",IF(G64&gt;=Parâmetros!$F$7,5,IF(G64&gt;=Parâmetros!$F$6,4,IF(G64&gt;=Parâmetros!$F$5,3,IF(G64&gt;=Parâmetros!$F$4,2,1)))))</f>
        <v/>
      </c>
      <c r="O64" s="8" t="str">
        <f aca="false">IF(H64="","",IF(H64="Sim",IF(I64&gt;=Parâmetros!$G$4,5,4),IF(I64&gt;=Parâmetros!$G$4,3,2)))</f>
        <v/>
      </c>
      <c r="P64" s="8" t="str">
        <f aca="false">IF(J64="","",J64)</f>
        <v/>
      </c>
      <c r="Q64" s="8" t="str">
        <f aca="false">IF(COUNT(K64:P64)&lt;6,"",ROUND(100*(K64*Parâmetros!$B$12+L64*Parâmetros!$B$13+M64*Parâmetros!$B$14+N64*Parâmetros!$B$15+O64*Parâmetros!$B$16+P64*Parâmetros!$B$17)/(5*SUM(Parâmetros!$B$12:$B$17)),0))</f>
        <v/>
      </c>
      <c r="R64" s="9" t="str">
        <f aca="false">IF(Q64="","",IF(Q64&gt;=Parâmetros!$B$20,"Modelar já",IF(Q64&gt;=Parâmetros!$B$21,"Monitorar","Descartar")))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7"/>
      <c r="J65" s="6"/>
      <c r="K65" s="8" t="str">
        <f aca="false">IF(D65="","",IF(D65&gt;=Parâmetros!$C$7,5,IF(D65&gt;=Parâmetros!$C$6,4,IF(D65&gt;=Parâmetros!$C$5,3,IF(D65&gt;=Parâmetros!$C$4,2,1)))))</f>
        <v/>
      </c>
      <c r="L65" s="8" t="str">
        <f aca="false">IF(E65="","",IF(E65&gt;=Parâmetros!$D$7,5,IF(E65&gt;=Parâmetros!$D$6,4,IF(E65&gt;=Parâmetros!$D$5,3,IF(E65&gt;=Parâmetros!$D$4,2,1)))))</f>
        <v/>
      </c>
      <c r="M65" s="8" t="str">
        <f aca="false">IF(F65="","",IF(F65&gt;=Parâmetros!$E$7,5,IF(F65&gt;=Parâmetros!$E$6,4,IF(F65&gt;=Parâmetros!$E$5,3,IF(F65&gt;=Parâmetros!$E$4,2,1)))))</f>
        <v/>
      </c>
      <c r="N65" s="8" t="str">
        <f aca="false">IF(G65="","",IF(G65&gt;=Parâmetros!$F$7,5,IF(G65&gt;=Parâmetros!$F$6,4,IF(G65&gt;=Parâmetros!$F$5,3,IF(G65&gt;=Parâmetros!$F$4,2,1)))))</f>
        <v/>
      </c>
      <c r="O65" s="8" t="str">
        <f aca="false">IF(H65="","",IF(H65="Sim",IF(I65&gt;=Parâmetros!$G$4,5,4),IF(I65&gt;=Parâmetros!$G$4,3,2)))</f>
        <v/>
      </c>
      <c r="P65" s="8" t="str">
        <f aca="false">IF(J65="","",J65)</f>
        <v/>
      </c>
      <c r="Q65" s="8" t="str">
        <f aca="false">IF(COUNT(K65:P65)&lt;6,"",ROUND(100*(K65*Parâmetros!$B$12+L65*Parâmetros!$B$13+M65*Parâmetros!$B$14+N65*Parâmetros!$B$15+O65*Parâmetros!$B$16+P65*Parâmetros!$B$17)/(5*SUM(Parâmetros!$B$12:$B$17)),0))</f>
        <v/>
      </c>
      <c r="R65" s="9" t="str">
        <f aca="false">IF(Q65="","",IF(Q65&gt;=Parâmetros!$B$20,"Modelar já",IF(Q65&gt;=Parâmetros!$B$21,"Monitorar","Descartar")))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7"/>
      <c r="J66" s="6"/>
      <c r="K66" s="8" t="str">
        <f aca="false">IF(D66="","",IF(D66&gt;=Parâmetros!$C$7,5,IF(D66&gt;=Parâmetros!$C$6,4,IF(D66&gt;=Parâmetros!$C$5,3,IF(D66&gt;=Parâmetros!$C$4,2,1)))))</f>
        <v/>
      </c>
      <c r="L66" s="8" t="str">
        <f aca="false">IF(E66="","",IF(E66&gt;=Parâmetros!$D$7,5,IF(E66&gt;=Parâmetros!$D$6,4,IF(E66&gt;=Parâmetros!$D$5,3,IF(E66&gt;=Parâmetros!$D$4,2,1)))))</f>
        <v/>
      </c>
      <c r="M66" s="8" t="str">
        <f aca="false">IF(F66="","",IF(F66&gt;=Parâmetros!$E$7,5,IF(F66&gt;=Parâmetros!$E$6,4,IF(F66&gt;=Parâmetros!$E$5,3,IF(F66&gt;=Parâmetros!$E$4,2,1)))))</f>
        <v/>
      </c>
      <c r="N66" s="8" t="str">
        <f aca="false">IF(G66="","",IF(G66&gt;=Parâmetros!$F$7,5,IF(G66&gt;=Parâmetros!$F$6,4,IF(G66&gt;=Parâmetros!$F$5,3,IF(G66&gt;=Parâmetros!$F$4,2,1)))))</f>
        <v/>
      </c>
      <c r="O66" s="8" t="str">
        <f aca="false">IF(H66="","",IF(H66="Sim",IF(I66&gt;=Parâmetros!$G$4,5,4),IF(I66&gt;=Parâmetros!$G$4,3,2)))</f>
        <v/>
      </c>
      <c r="P66" s="8" t="str">
        <f aca="false">IF(J66="","",J66)</f>
        <v/>
      </c>
      <c r="Q66" s="8" t="str">
        <f aca="false">IF(COUNT(K66:P66)&lt;6,"",ROUND(100*(K66*Parâmetros!$B$12+L66*Parâmetros!$B$13+M66*Parâmetros!$B$14+N66*Parâmetros!$B$15+O66*Parâmetros!$B$16+P66*Parâmetros!$B$17)/(5*SUM(Parâmetros!$B$12:$B$17)),0))</f>
        <v/>
      </c>
      <c r="R66" s="9" t="str">
        <f aca="false">IF(Q66="","",IF(Q66&gt;=Parâmetros!$B$20,"Modelar já",IF(Q66&gt;=Parâmetros!$B$21,"Monitorar","Descartar")))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7"/>
      <c r="J67" s="6"/>
      <c r="K67" s="8" t="str">
        <f aca="false">IF(D67="","",IF(D67&gt;=Parâmetros!$C$7,5,IF(D67&gt;=Parâmetros!$C$6,4,IF(D67&gt;=Parâmetros!$C$5,3,IF(D67&gt;=Parâmetros!$C$4,2,1)))))</f>
        <v/>
      </c>
      <c r="L67" s="8" t="str">
        <f aca="false">IF(E67="","",IF(E67&gt;=Parâmetros!$D$7,5,IF(E67&gt;=Parâmetros!$D$6,4,IF(E67&gt;=Parâmetros!$D$5,3,IF(E67&gt;=Parâmetros!$D$4,2,1)))))</f>
        <v/>
      </c>
      <c r="M67" s="8" t="str">
        <f aca="false">IF(F67="","",IF(F67&gt;=Parâmetros!$E$7,5,IF(F67&gt;=Parâmetros!$E$6,4,IF(F67&gt;=Parâmetros!$E$5,3,IF(F67&gt;=Parâmetros!$E$4,2,1)))))</f>
        <v/>
      </c>
      <c r="N67" s="8" t="str">
        <f aca="false">IF(G67="","",IF(G67&gt;=Parâmetros!$F$7,5,IF(G67&gt;=Parâmetros!$F$6,4,IF(G67&gt;=Parâmetros!$F$5,3,IF(G67&gt;=Parâmetros!$F$4,2,1)))))</f>
        <v/>
      </c>
      <c r="O67" s="8" t="str">
        <f aca="false">IF(H67="","",IF(H67="Sim",IF(I67&gt;=Parâmetros!$G$4,5,4),IF(I67&gt;=Parâmetros!$G$4,3,2)))</f>
        <v/>
      </c>
      <c r="P67" s="8" t="str">
        <f aca="false">IF(J67="","",J67)</f>
        <v/>
      </c>
      <c r="Q67" s="8" t="str">
        <f aca="false">IF(COUNT(K67:P67)&lt;6,"",ROUND(100*(K67*Parâmetros!$B$12+L67*Parâmetros!$B$13+M67*Parâmetros!$B$14+N67*Parâmetros!$B$15+O67*Parâmetros!$B$16+P67*Parâmetros!$B$17)/(5*SUM(Parâmetros!$B$12:$B$17)),0))</f>
        <v/>
      </c>
      <c r="R67" s="9" t="str">
        <f aca="false">IF(Q67="","",IF(Q67&gt;=Parâmetros!$B$20,"Modelar já",IF(Q67&gt;=Parâmetros!$B$21,"Monitorar","Descartar")))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7"/>
      <c r="J68" s="6"/>
      <c r="K68" s="8" t="str">
        <f aca="false">IF(D68="","",IF(D68&gt;=Parâmetros!$C$7,5,IF(D68&gt;=Parâmetros!$C$6,4,IF(D68&gt;=Parâmetros!$C$5,3,IF(D68&gt;=Parâmetros!$C$4,2,1)))))</f>
        <v/>
      </c>
      <c r="L68" s="8" t="str">
        <f aca="false">IF(E68="","",IF(E68&gt;=Parâmetros!$D$7,5,IF(E68&gt;=Parâmetros!$D$6,4,IF(E68&gt;=Parâmetros!$D$5,3,IF(E68&gt;=Parâmetros!$D$4,2,1)))))</f>
        <v/>
      </c>
      <c r="M68" s="8" t="str">
        <f aca="false">IF(F68="","",IF(F68&gt;=Parâmetros!$E$7,5,IF(F68&gt;=Parâmetros!$E$6,4,IF(F68&gt;=Parâmetros!$E$5,3,IF(F68&gt;=Parâmetros!$E$4,2,1)))))</f>
        <v/>
      </c>
      <c r="N68" s="8" t="str">
        <f aca="false">IF(G68="","",IF(G68&gt;=Parâmetros!$F$7,5,IF(G68&gt;=Parâmetros!$F$6,4,IF(G68&gt;=Parâmetros!$F$5,3,IF(G68&gt;=Parâmetros!$F$4,2,1)))))</f>
        <v/>
      </c>
      <c r="O68" s="8" t="str">
        <f aca="false">IF(H68="","",IF(H68="Sim",IF(I68&gt;=Parâmetros!$G$4,5,4),IF(I68&gt;=Parâmetros!$G$4,3,2)))</f>
        <v/>
      </c>
      <c r="P68" s="8" t="str">
        <f aca="false">IF(J68="","",J68)</f>
        <v/>
      </c>
      <c r="Q68" s="8" t="str">
        <f aca="false">IF(COUNT(K68:P68)&lt;6,"",ROUND(100*(K68*Parâmetros!$B$12+L68*Parâmetros!$B$13+M68*Parâmetros!$B$14+N68*Parâmetros!$B$15+O68*Parâmetros!$B$16+P68*Parâmetros!$B$17)/(5*SUM(Parâmetros!$B$12:$B$17)),0))</f>
        <v/>
      </c>
      <c r="R68" s="9" t="str">
        <f aca="false">IF(Q68="","",IF(Q68&gt;=Parâmetros!$B$20,"Modelar já",IF(Q68&gt;=Parâmetros!$B$21,"Monitorar","Descartar")))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7"/>
      <c r="J69" s="6"/>
      <c r="K69" s="8" t="str">
        <f aca="false">IF(D69="","",IF(D69&gt;=Parâmetros!$C$7,5,IF(D69&gt;=Parâmetros!$C$6,4,IF(D69&gt;=Parâmetros!$C$5,3,IF(D69&gt;=Parâmetros!$C$4,2,1)))))</f>
        <v/>
      </c>
      <c r="L69" s="8" t="str">
        <f aca="false">IF(E69="","",IF(E69&gt;=Parâmetros!$D$7,5,IF(E69&gt;=Parâmetros!$D$6,4,IF(E69&gt;=Parâmetros!$D$5,3,IF(E69&gt;=Parâmetros!$D$4,2,1)))))</f>
        <v/>
      </c>
      <c r="M69" s="8" t="str">
        <f aca="false">IF(F69="","",IF(F69&gt;=Parâmetros!$E$7,5,IF(F69&gt;=Parâmetros!$E$6,4,IF(F69&gt;=Parâmetros!$E$5,3,IF(F69&gt;=Parâmetros!$E$4,2,1)))))</f>
        <v/>
      </c>
      <c r="N69" s="8" t="str">
        <f aca="false">IF(G69="","",IF(G69&gt;=Parâmetros!$F$7,5,IF(G69&gt;=Parâmetros!$F$6,4,IF(G69&gt;=Parâmetros!$F$5,3,IF(G69&gt;=Parâmetros!$F$4,2,1)))))</f>
        <v/>
      </c>
      <c r="O69" s="8" t="str">
        <f aca="false">IF(H69="","",IF(H69="Sim",IF(I69&gt;=Parâmetros!$G$4,5,4),IF(I69&gt;=Parâmetros!$G$4,3,2)))</f>
        <v/>
      </c>
      <c r="P69" s="8" t="str">
        <f aca="false">IF(J69="","",J69)</f>
        <v/>
      </c>
      <c r="Q69" s="8" t="str">
        <f aca="false">IF(COUNT(K69:P69)&lt;6,"",ROUND(100*(K69*Parâmetros!$B$12+L69*Parâmetros!$B$13+M69*Parâmetros!$B$14+N69*Parâmetros!$B$15+O69*Parâmetros!$B$16+P69*Parâmetros!$B$17)/(5*SUM(Parâmetros!$B$12:$B$17)),0))</f>
        <v/>
      </c>
      <c r="R69" s="9" t="str">
        <f aca="false">IF(Q69="","",IF(Q69&gt;=Parâmetros!$B$20,"Modelar já",IF(Q69&gt;=Parâmetros!$B$21,"Monitorar","Descartar")))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7"/>
      <c r="J70" s="6"/>
      <c r="K70" s="8" t="str">
        <f aca="false">IF(D70="","",IF(D70&gt;=Parâmetros!$C$7,5,IF(D70&gt;=Parâmetros!$C$6,4,IF(D70&gt;=Parâmetros!$C$5,3,IF(D70&gt;=Parâmetros!$C$4,2,1)))))</f>
        <v/>
      </c>
      <c r="L70" s="8" t="str">
        <f aca="false">IF(E70="","",IF(E70&gt;=Parâmetros!$D$7,5,IF(E70&gt;=Parâmetros!$D$6,4,IF(E70&gt;=Parâmetros!$D$5,3,IF(E70&gt;=Parâmetros!$D$4,2,1)))))</f>
        <v/>
      </c>
      <c r="M70" s="8" t="str">
        <f aca="false">IF(F70="","",IF(F70&gt;=Parâmetros!$E$7,5,IF(F70&gt;=Parâmetros!$E$6,4,IF(F70&gt;=Parâmetros!$E$5,3,IF(F70&gt;=Parâmetros!$E$4,2,1)))))</f>
        <v/>
      </c>
      <c r="N70" s="8" t="str">
        <f aca="false">IF(G70="","",IF(G70&gt;=Parâmetros!$F$7,5,IF(G70&gt;=Parâmetros!$F$6,4,IF(G70&gt;=Parâmetros!$F$5,3,IF(G70&gt;=Parâmetros!$F$4,2,1)))))</f>
        <v/>
      </c>
      <c r="O70" s="8" t="str">
        <f aca="false">IF(H70="","",IF(H70="Sim",IF(I70&gt;=Parâmetros!$G$4,5,4),IF(I70&gt;=Parâmetros!$G$4,3,2)))</f>
        <v/>
      </c>
      <c r="P70" s="8" t="str">
        <f aca="false">IF(J70="","",J70)</f>
        <v/>
      </c>
      <c r="Q70" s="8" t="str">
        <f aca="false">IF(COUNT(K70:P70)&lt;6,"",ROUND(100*(K70*Parâmetros!$B$12+L70*Parâmetros!$B$13+M70*Parâmetros!$B$14+N70*Parâmetros!$B$15+O70*Parâmetros!$B$16+P70*Parâmetros!$B$17)/(5*SUM(Parâmetros!$B$12:$B$17)),0))</f>
        <v/>
      </c>
      <c r="R70" s="9" t="str">
        <f aca="false">IF(Q70="","",IF(Q70&gt;=Parâmetros!$B$20,"Modelar já",IF(Q70&gt;=Parâmetros!$B$21,"Monitorar","Descartar")))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7"/>
      <c r="J71" s="6"/>
      <c r="K71" s="8" t="str">
        <f aca="false">IF(D71="","",IF(D71&gt;=Parâmetros!$C$7,5,IF(D71&gt;=Parâmetros!$C$6,4,IF(D71&gt;=Parâmetros!$C$5,3,IF(D71&gt;=Parâmetros!$C$4,2,1)))))</f>
        <v/>
      </c>
      <c r="L71" s="8" t="str">
        <f aca="false">IF(E71="","",IF(E71&gt;=Parâmetros!$D$7,5,IF(E71&gt;=Parâmetros!$D$6,4,IF(E71&gt;=Parâmetros!$D$5,3,IF(E71&gt;=Parâmetros!$D$4,2,1)))))</f>
        <v/>
      </c>
      <c r="M71" s="8" t="str">
        <f aca="false">IF(F71="","",IF(F71&gt;=Parâmetros!$E$7,5,IF(F71&gt;=Parâmetros!$E$6,4,IF(F71&gt;=Parâmetros!$E$5,3,IF(F71&gt;=Parâmetros!$E$4,2,1)))))</f>
        <v/>
      </c>
      <c r="N71" s="8" t="str">
        <f aca="false">IF(G71="","",IF(G71&gt;=Parâmetros!$F$7,5,IF(G71&gt;=Parâmetros!$F$6,4,IF(G71&gt;=Parâmetros!$F$5,3,IF(G71&gt;=Parâmetros!$F$4,2,1)))))</f>
        <v/>
      </c>
      <c r="O71" s="8" t="str">
        <f aca="false">IF(H71="","",IF(H71="Sim",IF(I71&gt;=Parâmetros!$G$4,5,4),IF(I71&gt;=Parâmetros!$G$4,3,2)))</f>
        <v/>
      </c>
      <c r="P71" s="8" t="str">
        <f aca="false">IF(J71="","",J71)</f>
        <v/>
      </c>
      <c r="Q71" s="8" t="str">
        <f aca="false">IF(COUNT(K71:P71)&lt;6,"",ROUND(100*(K71*Parâmetros!$B$12+L71*Parâmetros!$B$13+M71*Parâmetros!$B$14+N71*Parâmetros!$B$15+O71*Parâmetros!$B$16+P71*Parâmetros!$B$17)/(5*SUM(Parâmetros!$B$12:$B$17)),0))</f>
        <v/>
      </c>
      <c r="R71" s="9" t="str">
        <f aca="false">IF(Q71="","",IF(Q71&gt;=Parâmetros!$B$20,"Modelar já",IF(Q71&gt;=Parâmetros!$B$21,"Monitorar","Descartar")))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7"/>
      <c r="J72" s="6"/>
      <c r="K72" s="8" t="str">
        <f aca="false">IF(D72="","",IF(D72&gt;=Parâmetros!$C$7,5,IF(D72&gt;=Parâmetros!$C$6,4,IF(D72&gt;=Parâmetros!$C$5,3,IF(D72&gt;=Parâmetros!$C$4,2,1)))))</f>
        <v/>
      </c>
      <c r="L72" s="8" t="str">
        <f aca="false">IF(E72="","",IF(E72&gt;=Parâmetros!$D$7,5,IF(E72&gt;=Parâmetros!$D$6,4,IF(E72&gt;=Parâmetros!$D$5,3,IF(E72&gt;=Parâmetros!$D$4,2,1)))))</f>
        <v/>
      </c>
      <c r="M72" s="8" t="str">
        <f aca="false">IF(F72="","",IF(F72&gt;=Parâmetros!$E$7,5,IF(F72&gt;=Parâmetros!$E$6,4,IF(F72&gt;=Parâmetros!$E$5,3,IF(F72&gt;=Parâmetros!$E$4,2,1)))))</f>
        <v/>
      </c>
      <c r="N72" s="8" t="str">
        <f aca="false">IF(G72="","",IF(G72&gt;=Parâmetros!$F$7,5,IF(G72&gt;=Parâmetros!$F$6,4,IF(G72&gt;=Parâmetros!$F$5,3,IF(G72&gt;=Parâmetros!$F$4,2,1)))))</f>
        <v/>
      </c>
      <c r="O72" s="8" t="str">
        <f aca="false">IF(H72="","",IF(H72="Sim",IF(I72&gt;=Parâmetros!$G$4,5,4),IF(I72&gt;=Parâmetros!$G$4,3,2)))</f>
        <v/>
      </c>
      <c r="P72" s="8" t="str">
        <f aca="false">IF(J72="","",J72)</f>
        <v/>
      </c>
      <c r="Q72" s="8" t="str">
        <f aca="false">IF(COUNT(K72:P72)&lt;6,"",ROUND(100*(K72*Parâmetros!$B$12+L72*Parâmetros!$B$13+M72*Parâmetros!$B$14+N72*Parâmetros!$B$15+O72*Parâmetros!$B$16+P72*Parâmetros!$B$17)/(5*SUM(Parâmetros!$B$12:$B$17)),0))</f>
        <v/>
      </c>
      <c r="R72" s="9" t="str">
        <f aca="false">IF(Q72="","",IF(Q72&gt;=Parâmetros!$B$20,"Modelar já",IF(Q72&gt;=Parâmetros!$B$21,"Monitorar","Descartar")))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7"/>
      <c r="J73" s="6"/>
      <c r="K73" s="8" t="str">
        <f aca="false">IF(D73="","",IF(D73&gt;=Parâmetros!$C$7,5,IF(D73&gt;=Parâmetros!$C$6,4,IF(D73&gt;=Parâmetros!$C$5,3,IF(D73&gt;=Parâmetros!$C$4,2,1)))))</f>
        <v/>
      </c>
      <c r="L73" s="8" t="str">
        <f aca="false">IF(E73="","",IF(E73&gt;=Parâmetros!$D$7,5,IF(E73&gt;=Parâmetros!$D$6,4,IF(E73&gt;=Parâmetros!$D$5,3,IF(E73&gt;=Parâmetros!$D$4,2,1)))))</f>
        <v/>
      </c>
      <c r="M73" s="8" t="str">
        <f aca="false">IF(F73="","",IF(F73&gt;=Parâmetros!$E$7,5,IF(F73&gt;=Parâmetros!$E$6,4,IF(F73&gt;=Parâmetros!$E$5,3,IF(F73&gt;=Parâmetros!$E$4,2,1)))))</f>
        <v/>
      </c>
      <c r="N73" s="8" t="str">
        <f aca="false">IF(G73="","",IF(G73&gt;=Parâmetros!$F$7,5,IF(G73&gt;=Parâmetros!$F$6,4,IF(G73&gt;=Parâmetros!$F$5,3,IF(G73&gt;=Parâmetros!$F$4,2,1)))))</f>
        <v/>
      </c>
      <c r="O73" s="8" t="str">
        <f aca="false">IF(H73="","",IF(H73="Sim",IF(I73&gt;=Parâmetros!$G$4,5,4),IF(I73&gt;=Parâmetros!$G$4,3,2)))</f>
        <v/>
      </c>
      <c r="P73" s="8" t="str">
        <f aca="false">IF(J73="","",J73)</f>
        <v/>
      </c>
      <c r="Q73" s="8" t="str">
        <f aca="false">IF(COUNT(K73:P73)&lt;6,"",ROUND(100*(K73*Parâmetros!$B$12+L73*Parâmetros!$B$13+M73*Parâmetros!$B$14+N73*Parâmetros!$B$15+O73*Parâmetros!$B$16+P73*Parâmetros!$B$17)/(5*SUM(Parâmetros!$B$12:$B$17)),0))</f>
        <v/>
      </c>
      <c r="R73" s="9" t="str">
        <f aca="false">IF(Q73="","",IF(Q73&gt;=Parâmetros!$B$20,"Modelar já",IF(Q73&gt;=Parâmetros!$B$21,"Monitorar","Descartar")))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7"/>
      <c r="J74" s="6"/>
      <c r="K74" s="8" t="str">
        <f aca="false">IF(D74="","",IF(D74&gt;=Parâmetros!$C$7,5,IF(D74&gt;=Parâmetros!$C$6,4,IF(D74&gt;=Parâmetros!$C$5,3,IF(D74&gt;=Parâmetros!$C$4,2,1)))))</f>
        <v/>
      </c>
      <c r="L74" s="8" t="str">
        <f aca="false">IF(E74="","",IF(E74&gt;=Parâmetros!$D$7,5,IF(E74&gt;=Parâmetros!$D$6,4,IF(E74&gt;=Parâmetros!$D$5,3,IF(E74&gt;=Parâmetros!$D$4,2,1)))))</f>
        <v/>
      </c>
      <c r="M74" s="8" t="str">
        <f aca="false">IF(F74="","",IF(F74&gt;=Parâmetros!$E$7,5,IF(F74&gt;=Parâmetros!$E$6,4,IF(F74&gt;=Parâmetros!$E$5,3,IF(F74&gt;=Parâmetros!$E$4,2,1)))))</f>
        <v/>
      </c>
      <c r="N74" s="8" t="str">
        <f aca="false">IF(G74="","",IF(G74&gt;=Parâmetros!$F$7,5,IF(G74&gt;=Parâmetros!$F$6,4,IF(G74&gt;=Parâmetros!$F$5,3,IF(G74&gt;=Parâmetros!$F$4,2,1)))))</f>
        <v/>
      </c>
      <c r="O74" s="8" t="str">
        <f aca="false">IF(H74="","",IF(H74="Sim",IF(I74&gt;=Parâmetros!$G$4,5,4),IF(I74&gt;=Parâmetros!$G$4,3,2)))</f>
        <v/>
      </c>
      <c r="P74" s="8" t="str">
        <f aca="false">IF(J74="","",J74)</f>
        <v/>
      </c>
      <c r="Q74" s="8" t="str">
        <f aca="false">IF(COUNT(K74:P74)&lt;6,"",ROUND(100*(K74*Parâmetros!$B$12+L74*Parâmetros!$B$13+M74*Parâmetros!$B$14+N74*Parâmetros!$B$15+O74*Parâmetros!$B$16+P74*Parâmetros!$B$17)/(5*SUM(Parâmetros!$B$12:$B$17)),0))</f>
        <v/>
      </c>
      <c r="R74" s="9" t="str">
        <f aca="false">IF(Q74="","",IF(Q74&gt;=Parâmetros!$B$20,"Modelar já",IF(Q74&gt;=Parâmetros!$B$21,"Monitorar","Descartar")))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7"/>
      <c r="J75" s="6"/>
      <c r="K75" s="8" t="str">
        <f aca="false">IF(D75="","",IF(D75&gt;=Parâmetros!$C$7,5,IF(D75&gt;=Parâmetros!$C$6,4,IF(D75&gt;=Parâmetros!$C$5,3,IF(D75&gt;=Parâmetros!$C$4,2,1)))))</f>
        <v/>
      </c>
      <c r="L75" s="8" t="str">
        <f aca="false">IF(E75="","",IF(E75&gt;=Parâmetros!$D$7,5,IF(E75&gt;=Parâmetros!$D$6,4,IF(E75&gt;=Parâmetros!$D$5,3,IF(E75&gt;=Parâmetros!$D$4,2,1)))))</f>
        <v/>
      </c>
      <c r="M75" s="8" t="str">
        <f aca="false">IF(F75="","",IF(F75&gt;=Parâmetros!$E$7,5,IF(F75&gt;=Parâmetros!$E$6,4,IF(F75&gt;=Parâmetros!$E$5,3,IF(F75&gt;=Parâmetros!$E$4,2,1)))))</f>
        <v/>
      </c>
      <c r="N75" s="8" t="str">
        <f aca="false">IF(G75="","",IF(G75&gt;=Parâmetros!$F$7,5,IF(G75&gt;=Parâmetros!$F$6,4,IF(G75&gt;=Parâmetros!$F$5,3,IF(G75&gt;=Parâmetros!$F$4,2,1)))))</f>
        <v/>
      </c>
      <c r="O75" s="8" t="str">
        <f aca="false">IF(H75="","",IF(H75="Sim",IF(I75&gt;=Parâmetros!$G$4,5,4),IF(I75&gt;=Parâmetros!$G$4,3,2)))</f>
        <v/>
      </c>
      <c r="P75" s="8" t="str">
        <f aca="false">IF(J75="","",J75)</f>
        <v/>
      </c>
      <c r="Q75" s="8" t="str">
        <f aca="false">IF(COUNT(K75:P75)&lt;6,"",ROUND(100*(K75*Parâmetros!$B$12+L75*Parâmetros!$B$13+M75*Parâmetros!$B$14+N75*Parâmetros!$B$15+O75*Parâmetros!$B$16+P75*Parâmetros!$B$17)/(5*SUM(Parâmetros!$B$12:$B$17)),0))</f>
        <v/>
      </c>
      <c r="R75" s="9" t="str">
        <f aca="false">IF(Q75="","",IF(Q75&gt;=Parâmetros!$B$20,"Modelar já",IF(Q75&gt;=Parâmetros!$B$21,"Monitorar","Descartar")))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7"/>
      <c r="J76" s="6"/>
      <c r="K76" s="8" t="str">
        <f aca="false">IF(D76="","",IF(D76&gt;=Parâmetros!$C$7,5,IF(D76&gt;=Parâmetros!$C$6,4,IF(D76&gt;=Parâmetros!$C$5,3,IF(D76&gt;=Parâmetros!$C$4,2,1)))))</f>
        <v/>
      </c>
      <c r="L76" s="8" t="str">
        <f aca="false">IF(E76="","",IF(E76&gt;=Parâmetros!$D$7,5,IF(E76&gt;=Parâmetros!$D$6,4,IF(E76&gt;=Parâmetros!$D$5,3,IF(E76&gt;=Parâmetros!$D$4,2,1)))))</f>
        <v/>
      </c>
      <c r="M76" s="8" t="str">
        <f aca="false">IF(F76="","",IF(F76&gt;=Parâmetros!$E$7,5,IF(F76&gt;=Parâmetros!$E$6,4,IF(F76&gt;=Parâmetros!$E$5,3,IF(F76&gt;=Parâmetros!$E$4,2,1)))))</f>
        <v/>
      </c>
      <c r="N76" s="8" t="str">
        <f aca="false">IF(G76="","",IF(G76&gt;=Parâmetros!$F$7,5,IF(G76&gt;=Parâmetros!$F$6,4,IF(G76&gt;=Parâmetros!$F$5,3,IF(G76&gt;=Parâmetros!$F$4,2,1)))))</f>
        <v/>
      </c>
      <c r="O76" s="8" t="str">
        <f aca="false">IF(H76="","",IF(H76="Sim",IF(I76&gt;=Parâmetros!$G$4,5,4),IF(I76&gt;=Parâmetros!$G$4,3,2)))</f>
        <v/>
      </c>
      <c r="P76" s="8" t="str">
        <f aca="false">IF(J76="","",J76)</f>
        <v/>
      </c>
      <c r="Q76" s="8" t="str">
        <f aca="false">IF(COUNT(K76:P76)&lt;6,"",ROUND(100*(K76*Parâmetros!$B$12+L76*Parâmetros!$B$13+M76*Parâmetros!$B$14+N76*Parâmetros!$B$15+O76*Parâmetros!$B$16+P76*Parâmetros!$B$17)/(5*SUM(Parâmetros!$B$12:$B$17)),0))</f>
        <v/>
      </c>
      <c r="R76" s="9" t="str">
        <f aca="false">IF(Q76="","",IF(Q76&gt;=Parâmetros!$B$20,"Modelar já",IF(Q76&gt;=Parâmetros!$B$21,"Monitorar","Descartar")))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7"/>
      <c r="J77" s="6"/>
      <c r="K77" s="8" t="str">
        <f aca="false">IF(D77="","",IF(D77&gt;=Parâmetros!$C$7,5,IF(D77&gt;=Parâmetros!$C$6,4,IF(D77&gt;=Parâmetros!$C$5,3,IF(D77&gt;=Parâmetros!$C$4,2,1)))))</f>
        <v/>
      </c>
      <c r="L77" s="8" t="str">
        <f aca="false">IF(E77="","",IF(E77&gt;=Parâmetros!$D$7,5,IF(E77&gt;=Parâmetros!$D$6,4,IF(E77&gt;=Parâmetros!$D$5,3,IF(E77&gt;=Parâmetros!$D$4,2,1)))))</f>
        <v/>
      </c>
      <c r="M77" s="8" t="str">
        <f aca="false">IF(F77="","",IF(F77&gt;=Parâmetros!$E$7,5,IF(F77&gt;=Parâmetros!$E$6,4,IF(F77&gt;=Parâmetros!$E$5,3,IF(F77&gt;=Parâmetros!$E$4,2,1)))))</f>
        <v/>
      </c>
      <c r="N77" s="8" t="str">
        <f aca="false">IF(G77="","",IF(G77&gt;=Parâmetros!$F$7,5,IF(G77&gt;=Parâmetros!$F$6,4,IF(G77&gt;=Parâmetros!$F$5,3,IF(G77&gt;=Parâmetros!$F$4,2,1)))))</f>
        <v/>
      </c>
      <c r="O77" s="8" t="str">
        <f aca="false">IF(H77="","",IF(H77="Sim",IF(I77&gt;=Parâmetros!$G$4,5,4),IF(I77&gt;=Parâmetros!$G$4,3,2)))</f>
        <v/>
      </c>
      <c r="P77" s="8" t="str">
        <f aca="false">IF(J77="","",J77)</f>
        <v/>
      </c>
      <c r="Q77" s="8" t="str">
        <f aca="false">IF(COUNT(K77:P77)&lt;6,"",ROUND(100*(K77*Parâmetros!$B$12+L77*Parâmetros!$B$13+M77*Parâmetros!$B$14+N77*Parâmetros!$B$15+O77*Parâmetros!$B$16+P77*Parâmetros!$B$17)/(5*SUM(Parâmetros!$B$12:$B$17)),0))</f>
        <v/>
      </c>
      <c r="R77" s="9" t="str">
        <f aca="false">IF(Q77="","",IF(Q77&gt;=Parâmetros!$B$20,"Modelar já",IF(Q77&gt;=Parâmetros!$B$21,"Monitorar","Descartar")))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7"/>
      <c r="J78" s="6"/>
      <c r="K78" s="8" t="str">
        <f aca="false">IF(D78="","",IF(D78&gt;=Parâmetros!$C$7,5,IF(D78&gt;=Parâmetros!$C$6,4,IF(D78&gt;=Parâmetros!$C$5,3,IF(D78&gt;=Parâmetros!$C$4,2,1)))))</f>
        <v/>
      </c>
      <c r="L78" s="8" t="str">
        <f aca="false">IF(E78="","",IF(E78&gt;=Parâmetros!$D$7,5,IF(E78&gt;=Parâmetros!$D$6,4,IF(E78&gt;=Parâmetros!$D$5,3,IF(E78&gt;=Parâmetros!$D$4,2,1)))))</f>
        <v/>
      </c>
      <c r="M78" s="8" t="str">
        <f aca="false">IF(F78="","",IF(F78&gt;=Parâmetros!$E$7,5,IF(F78&gt;=Parâmetros!$E$6,4,IF(F78&gt;=Parâmetros!$E$5,3,IF(F78&gt;=Parâmetros!$E$4,2,1)))))</f>
        <v/>
      </c>
      <c r="N78" s="8" t="str">
        <f aca="false">IF(G78="","",IF(G78&gt;=Parâmetros!$F$7,5,IF(G78&gt;=Parâmetros!$F$6,4,IF(G78&gt;=Parâmetros!$F$5,3,IF(G78&gt;=Parâmetros!$F$4,2,1)))))</f>
        <v/>
      </c>
      <c r="O78" s="8" t="str">
        <f aca="false">IF(H78="","",IF(H78="Sim",IF(I78&gt;=Parâmetros!$G$4,5,4),IF(I78&gt;=Parâmetros!$G$4,3,2)))</f>
        <v/>
      </c>
      <c r="P78" s="8" t="str">
        <f aca="false">IF(J78="","",J78)</f>
        <v/>
      </c>
      <c r="Q78" s="8" t="str">
        <f aca="false">IF(COUNT(K78:P78)&lt;6,"",ROUND(100*(K78*Parâmetros!$B$12+L78*Parâmetros!$B$13+M78*Parâmetros!$B$14+N78*Parâmetros!$B$15+O78*Parâmetros!$B$16+P78*Parâmetros!$B$17)/(5*SUM(Parâmetros!$B$12:$B$17)),0))</f>
        <v/>
      </c>
      <c r="R78" s="9" t="str">
        <f aca="false">IF(Q78="","",IF(Q78&gt;=Parâmetros!$B$20,"Modelar já",IF(Q78&gt;=Parâmetros!$B$21,"Monitorar","Descartar")))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7"/>
      <c r="J79" s="6"/>
      <c r="K79" s="8" t="str">
        <f aca="false">IF(D79="","",IF(D79&gt;=Parâmetros!$C$7,5,IF(D79&gt;=Parâmetros!$C$6,4,IF(D79&gt;=Parâmetros!$C$5,3,IF(D79&gt;=Parâmetros!$C$4,2,1)))))</f>
        <v/>
      </c>
      <c r="L79" s="8" t="str">
        <f aca="false">IF(E79="","",IF(E79&gt;=Parâmetros!$D$7,5,IF(E79&gt;=Parâmetros!$D$6,4,IF(E79&gt;=Parâmetros!$D$5,3,IF(E79&gt;=Parâmetros!$D$4,2,1)))))</f>
        <v/>
      </c>
      <c r="M79" s="8" t="str">
        <f aca="false">IF(F79="","",IF(F79&gt;=Parâmetros!$E$7,5,IF(F79&gt;=Parâmetros!$E$6,4,IF(F79&gt;=Parâmetros!$E$5,3,IF(F79&gt;=Parâmetros!$E$4,2,1)))))</f>
        <v/>
      </c>
      <c r="N79" s="8" t="str">
        <f aca="false">IF(G79="","",IF(G79&gt;=Parâmetros!$F$7,5,IF(G79&gt;=Parâmetros!$F$6,4,IF(G79&gt;=Parâmetros!$F$5,3,IF(G79&gt;=Parâmetros!$F$4,2,1)))))</f>
        <v/>
      </c>
      <c r="O79" s="8" t="str">
        <f aca="false">IF(H79="","",IF(H79="Sim",IF(I79&gt;=Parâmetros!$G$4,5,4),IF(I79&gt;=Parâmetros!$G$4,3,2)))</f>
        <v/>
      </c>
      <c r="P79" s="8" t="str">
        <f aca="false">IF(J79="","",J79)</f>
        <v/>
      </c>
      <c r="Q79" s="8" t="str">
        <f aca="false">IF(COUNT(K79:P79)&lt;6,"",ROUND(100*(K79*Parâmetros!$B$12+L79*Parâmetros!$B$13+M79*Parâmetros!$B$14+N79*Parâmetros!$B$15+O79*Parâmetros!$B$16+P79*Parâmetros!$B$17)/(5*SUM(Parâmetros!$B$12:$B$17)),0))</f>
        <v/>
      </c>
      <c r="R79" s="9" t="str">
        <f aca="false">IF(Q79="","",IF(Q79&gt;=Parâmetros!$B$20,"Modelar já",IF(Q79&gt;=Parâmetros!$B$21,"Monitorar","Descartar")))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7"/>
      <c r="J80" s="6"/>
      <c r="K80" s="8" t="str">
        <f aca="false">IF(D80="","",IF(D80&gt;=Parâmetros!$C$7,5,IF(D80&gt;=Parâmetros!$C$6,4,IF(D80&gt;=Parâmetros!$C$5,3,IF(D80&gt;=Parâmetros!$C$4,2,1)))))</f>
        <v/>
      </c>
      <c r="L80" s="8" t="str">
        <f aca="false">IF(E80="","",IF(E80&gt;=Parâmetros!$D$7,5,IF(E80&gt;=Parâmetros!$D$6,4,IF(E80&gt;=Parâmetros!$D$5,3,IF(E80&gt;=Parâmetros!$D$4,2,1)))))</f>
        <v/>
      </c>
      <c r="M80" s="8" t="str">
        <f aca="false">IF(F80="","",IF(F80&gt;=Parâmetros!$E$7,5,IF(F80&gt;=Parâmetros!$E$6,4,IF(F80&gt;=Parâmetros!$E$5,3,IF(F80&gt;=Parâmetros!$E$4,2,1)))))</f>
        <v/>
      </c>
      <c r="N80" s="8" t="str">
        <f aca="false">IF(G80="","",IF(G80&gt;=Parâmetros!$F$7,5,IF(G80&gt;=Parâmetros!$F$6,4,IF(G80&gt;=Parâmetros!$F$5,3,IF(G80&gt;=Parâmetros!$F$4,2,1)))))</f>
        <v/>
      </c>
      <c r="O80" s="8" t="str">
        <f aca="false">IF(H80="","",IF(H80="Sim",IF(I80&gt;=Parâmetros!$G$4,5,4),IF(I80&gt;=Parâmetros!$G$4,3,2)))</f>
        <v/>
      </c>
      <c r="P80" s="8" t="str">
        <f aca="false">IF(J80="","",J80)</f>
        <v/>
      </c>
      <c r="Q80" s="8" t="str">
        <f aca="false">IF(COUNT(K80:P80)&lt;6,"",ROUND(100*(K80*Parâmetros!$B$12+L80*Parâmetros!$B$13+M80*Parâmetros!$B$14+N80*Parâmetros!$B$15+O80*Parâmetros!$B$16+P80*Parâmetros!$B$17)/(5*SUM(Parâmetros!$B$12:$B$17)),0))</f>
        <v/>
      </c>
      <c r="R80" s="9" t="str">
        <f aca="false">IF(Q80="","",IF(Q80&gt;=Parâmetros!$B$20,"Modelar já",IF(Q80&gt;=Parâmetros!$B$21,"Monitorar","Descartar")))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7"/>
      <c r="J81" s="6"/>
      <c r="K81" s="8" t="str">
        <f aca="false">IF(D81="","",IF(D81&gt;=Parâmetros!$C$7,5,IF(D81&gt;=Parâmetros!$C$6,4,IF(D81&gt;=Parâmetros!$C$5,3,IF(D81&gt;=Parâmetros!$C$4,2,1)))))</f>
        <v/>
      </c>
      <c r="L81" s="8" t="str">
        <f aca="false">IF(E81="","",IF(E81&gt;=Parâmetros!$D$7,5,IF(E81&gt;=Parâmetros!$D$6,4,IF(E81&gt;=Parâmetros!$D$5,3,IF(E81&gt;=Parâmetros!$D$4,2,1)))))</f>
        <v/>
      </c>
      <c r="M81" s="8" t="str">
        <f aca="false">IF(F81="","",IF(F81&gt;=Parâmetros!$E$7,5,IF(F81&gt;=Parâmetros!$E$6,4,IF(F81&gt;=Parâmetros!$E$5,3,IF(F81&gt;=Parâmetros!$E$4,2,1)))))</f>
        <v/>
      </c>
      <c r="N81" s="8" t="str">
        <f aca="false">IF(G81="","",IF(G81&gt;=Parâmetros!$F$7,5,IF(G81&gt;=Parâmetros!$F$6,4,IF(G81&gt;=Parâmetros!$F$5,3,IF(G81&gt;=Parâmetros!$F$4,2,1)))))</f>
        <v/>
      </c>
      <c r="O81" s="8" t="str">
        <f aca="false">IF(H81="","",IF(H81="Sim",IF(I81&gt;=Parâmetros!$G$4,5,4),IF(I81&gt;=Parâmetros!$G$4,3,2)))</f>
        <v/>
      </c>
      <c r="P81" s="8" t="str">
        <f aca="false">IF(J81="","",J81)</f>
        <v/>
      </c>
      <c r="Q81" s="8" t="str">
        <f aca="false">IF(COUNT(K81:P81)&lt;6,"",ROUND(100*(K81*Parâmetros!$B$12+L81*Parâmetros!$B$13+M81*Parâmetros!$B$14+N81*Parâmetros!$B$15+O81*Parâmetros!$B$16+P81*Parâmetros!$B$17)/(5*SUM(Parâmetros!$B$12:$B$17)),0))</f>
        <v/>
      </c>
      <c r="R81" s="9" t="str">
        <f aca="false">IF(Q81="","",IF(Q81&gt;=Parâmetros!$B$20,"Modelar já",IF(Q81&gt;=Parâmetros!$B$21,"Monitorar","Descartar")))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7"/>
      <c r="J82" s="6"/>
      <c r="K82" s="8" t="str">
        <f aca="false">IF(D82="","",IF(D82&gt;=Parâmetros!$C$7,5,IF(D82&gt;=Parâmetros!$C$6,4,IF(D82&gt;=Parâmetros!$C$5,3,IF(D82&gt;=Parâmetros!$C$4,2,1)))))</f>
        <v/>
      </c>
      <c r="L82" s="8" t="str">
        <f aca="false">IF(E82="","",IF(E82&gt;=Parâmetros!$D$7,5,IF(E82&gt;=Parâmetros!$D$6,4,IF(E82&gt;=Parâmetros!$D$5,3,IF(E82&gt;=Parâmetros!$D$4,2,1)))))</f>
        <v/>
      </c>
      <c r="M82" s="8" t="str">
        <f aca="false">IF(F82="","",IF(F82&gt;=Parâmetros!$E$7,5,IF(F82&gt;=Parâmetros!$E$6,4,IF(F82&gt;=Parâmetros!$E$5,3,IF(F82&gt;=Parâmetros!$E$4,2,1)))))</f>
        <v/>
      </c>
      <c r="N82" s="8" t="str">
        <f aca="false">IF(G82="","",IF(G82&gt;=Parâmetros!$F$7,5,IF(G82&gt;=Parâmetros!$F$6,4,IF(G82&gt;=Parâmetros!$F$5,3,IF(G82&gt;=Parâmetros!$F$4,2,1)))))</f>
        <v/>
      </c>
      <c r="O82" s="8" t="str">
        <f aca="false">IF(H82="","",IF(H82="Sim",IF(I82&gt;=Parâmetros!$G$4,5,4),IF(I82&gt;=Parâmetros!$G$4,3,2)))</f>
        <v/>
      </c>
      <c r="P82" s="8" t="str">
        <f aca="false">IF(J82="","",J82)</f>
        <v/>
      </c>
      <c r="Q82" s="8" t="str">
        <f aca="false">IF(COUNT(K82:P82)&lt;6,"",ROUND(100*(K82*Parâmetros!$B$12+L82*Parâmetros!$B$13+M82*Parâmetros!$B$14+N82*Parâmetros!$B$15+O82*Parâmetros!$B$16+P82*Parâmetros!$B$17)/(5*SUM(Parâmetros!$B$12:$B$17)),0))</f>
        <v/>
      </c>
      <c r="R82" s="9" t="str">
        <f aca="false">IF(Q82="","",IF(Q82&gt;=Parâmetros!$B$20,"Modelar já",IF(Q82&gt;=Parâmetros!$B$21,"Monitorar","Descartar")))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7"/>
      <c r="J83" s="6"/>
      <c r="K83" s="8" t="str">
        <f aca="false">IF(D83="","",IF(D83&gt;=Parâmetros!$C$7,5,IF(D83&gt;=Parâmetros!$C$6,4,IF(D83&gt;=Parâmetros!$C$5,3,IF(D83&gt;=Parâmetros!$C$4,2,1)))))</f>
        <v/>
      </c>
      <c r="L83" s="8" t="str">
        <f aca="false">IF(E83="","",IF(E83&gt;=Parâmetros!$D$7,5,IF(E83&gt;=Parâmetros!$D$6,4,IF(E83&gt;=Parâmetros!$D$5,3,IF(E83&gt;=Parâmetros!$D$4,2,1)))))</f>
        <v/>
      </c>
      <c r="M83" s="8" t="str">
        <f aca="false">IF(F83="","",IF(F83&gt;=Parâmetros!$E$7,5,IF(F83&gt;=Parâmetros!$E$6,4,IF(F83&gt;=Parâmetros!$E$5,3,IF(F83&gt;=Parâmetros!$E$4,2,1)))))</f>
        <v/>
      </c>
      <c r="N83" s="8" t="str">
        <f aca="false">IF(G83="","",IF(G83&gt;=Parâmetros!$F$7,5,IF(G83&gt;=Parâmetros!$F$6,4,IF(G83&gt;=Parâmetros!$F$5,3,IF(G83&gt;=Parâmetros!$F$4,2,1)))))</f>
        <v/>
      </c>
      <c r="O83" s="8" t="str">
        <f aca="false">IF(H83="","",IF(H83="Sim",IF(I83&gt;=Parâmetros!$G$4,5,4),IF(I83&gt;=Parâmetros!$G$4,3,2)))</f>
        <v/>
      </c>
      <c r="P83" s="8" t="str">
        <f aca="false">IF(J83="","",J83)</f>
        <v/>
      </c>
      <c r="Q83" s="8" t="str">
        <f aca="false">IF(COUNT(K83:P83)&lt;6,"",ROUND(100*(K83*Parâmetros!$B$12+L83*Parâmetros!$B$13+M83*Parâmetros!$B$14+N83*Parâmetros!$B$15+O83*Parâmetros!$B$16+P83*Parâmetros!$B$17)/(5*SUM(Parâmetros!$B$12:$B$17)),0))</f>
        <v/>
      </c>
      <c r="R83" s="9" t="str">
        <f aca="false">IF(Q83="","",IF(Q83&gt;=Parâmetros!$B$20,"Modelar já",IF(Q83&gt;=Parâmetros!$B$21,"Monitorar","Descartar")))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7"/>
      <c r="J84" s="6"/>
      <c r="K84" s="8" t="str">
        <f aca="false">IF(D84="","",IF(D84&gt;=Parâmetros!$C$7,5,IF(D84&gt;=Parâmetros!$C$6,4,IF(D84&gt;=Parâmetros!$C$5,3,IF(D84&gt;=Parâmetros!$C$4,2,1)))))</f>
        <v/>
      </c>
      <c r="L84" s="8" t="str">
        <f aca="false">IF(E84="","",IF(E84&gt;=Parâmetros!$D$7,5,IF(E84&gt;=Parâmetros!$D$6,4,IF(E84&gt;=Parâmetros!$D$5,3,IF(E84&gt;=Parâmetros!$D$4,2,1)))))</f>
        <v/>
      </c>
      <c r="M84" s="8" t="str">
        <f aca="false">IF(F84="","",IF(F84&gt;=Parâmetros!$E$7,5,IF(F84&gt;=Parâmetros!$E$6,4,IF(F84&gt;=Parâmetros!$E$5,3,IF(F84&gt;=Parâmetros!$E$4,2,1)))))</f>
        <v/>
      </c>
      <c r="N84" s="8" t="str">
        <f aca="false">IF(G84="","",IF(G84&gt;=Parâmetros!$F$7,5,IF(G84&gt;=Parâmetros!$F$6,4,IF(G84&gt;=Parâmetros!$F$5,3,IF(G84&gt;=Parâmetros!$F$4,2,1)))))</f>
        <v/>
      </c>
      <c r="O84" s="8" t="str">
        <f aca="false">IF(H84="","",IF(H84="Sim",IF(I84&gt;=Parâmetros!$G$4,5,4),IF(I84&gt;=Parâmetros!$G$4,3,2)))</f>
        <v/>
      </c>
      <c r="P84" s="8" t="str">
        <f aca="false">IF(J84="","",J84)</f>
        <v/>
      </c>
      <c r="Q84" s="8" t="str">
        <f aca="false">IF(COUNT(K84:P84)&lt;6,"",ROUND(100*(K84*Parâmetros!$B$12+L84*Parâmetros!$B$13+M84*Parâmetros!$B$14+N84*Parâmetros!$B$15+O84*Parâmetros!$B$16+P84*Parâmetros!$B$17)/(5*SUM(Parâmetros!$B$12:$B$17)),0))</f>
        <v/>
      </c>
      <c r="R84" s="9" t="str">
        <f aca="false">IF(Q84="","",IF(Q84&gt;=Parâmetros!$B$20,"Modelar já",IF(Q84&gt;=Parâmetros!$B$21,"Monitorar","Descartar")))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7"/>
      <c r="J85" s="6"/>
      <c r="K85" s="8" t="str">
        <f aca="false">IF(D85="","",IF(D85&gt;=Parâmetros!$C$7,5,IF(D85&gt;=Parâmetros!$C$6,4,IF(D85&gt;=Parâmetros!$C$5,3,IF(D85&gt;=Parâmetros!$C$4,2,1)))))</f>
        <v/>
      </c>
      <c r="L85" s="8" t="str">
        <f aca="false">IF(E85="","",IF(E85&gt;=Parâmetros!$D$7,5,IF(E85&gt;=Parâmetros!$D$6,4,IF(E85&gt;=Parâmetros!$D$5,3,IF(E85&gt;=Parâmetros!$D$4,2,1)))))</f>
        <v/>
      </c>
      <c r="M85" s="8" t="str">
        <f aca="false">IF(F85="","",IF(F85&gt;=Parâmetros!$E$7,5,IF(F85&gt;=Parâmetros!$E$6,4,IF(F85&gt;=Parâmetros!$E$5,3,IF(F85&gt;=Parâmetros!$E$4,2,1)))))</f>
        <v/>
      </c>
      <c r="N85" s="8" t="str">
        <f aca="false">IF(G85="","",IF(G85&gt;=Parâmetros!$F$7,5,IF(G85&gt;=Parâmetros!$F$6,4,IF(G85&gt;=Parâmetros!$F$5,3,IF(G85&gt;=Parâmetros!$F$4,2,1)))))</f>
        <v/>
      </c>
      <c r="O85" s="8" t="str">
        <f aca="false">IF(H85="","",IF(H85="Sim",IF(I85&gt;=Parâmetros!$G$4,5,4),IF(I85&gt;=Parâmetros!$G$4,3,2)))</f>
        <v/>
      </c>
      <c r="P85" s="8" t="str">
        <f aca="false">IF(J85="","",J85)</f>
        <v/>
      </c>
      <c r="Q85" s="8" t="str">
        <f aca="false">IF(COUNT(K85:P85)&lt;6,"",ROUND(100*(K85*Parâmetros!$B$12+L85*Parâmetros!$B$13+M85*Parâmetros!$B$14+N85*Parâmetros!$B$15+O85*Parâmetros!$B$16+P85*Parâmetros!$B$17)/(5*SUM(Parâmetros!$B$12:$B$17)),0))</f>
        <v/>
      </c>
      <c r="R85" s="9" t="str">
        <f aca="false">IF(Q85="","",IF(Q85&gt;=Parâmetros!$B$20,"Modelar já",IF(Q85&gt;=Parâmetros!$B$21,"Monitorar","Descartar")))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7"/>
      <c r="J86" s="6"/>
      <c r="K86" s="8" t="str">
        <f aca="false">IF(D86="","",IF(D86&gt;=Parâmetros!$C$7,5,IF(D86&gt;=Parâmetros!$C$6,4,IF(D86&gt;=Parâmetros!$C$5,3,IF(D86&gt;=Parâmetros!$C$4,2,1)))))</f>
        <v/>
      </c>
      <c r="L86" s="8" t="str">
        <f aca="false">IF(E86="","",IF(E86&gt;=Parâmetros!$D$7,5,IF(E86&gt;=Parâmetros!$D$6,4,IF(E86&gt;=Parâmetros!$D$5,3,IF(E86&gt;=Parâmetros!$D$4,2,1)))))</f>
        <v/>
      </c>
      <c r="M86" s="8" t="str">
        <f aca="false">IF(F86="","",IF(F86&gt;=Parâmetros!$E$7,5,IF(F86&gt;=Parâmetros!$E$6,4,IF(F86&gt;=Parâmetros!$E$5,3,IF(F86&gt;=Parâmetros!$E$4,2,1)))))</f>
        <v/>
      </c>
      <c r="N86" s="8" t="str">
        <f aca="false">IF(G86="","",IF(G86&gt;=Parâmetros!$F$7,5,IF(G86&gt;=Parâmetros!$F$6,4,IF(G86&gt;=Parâmetros!$F$5,3,IF(G86&gt;=Parâmetros!$F$4,2,1)))))</f>
        <v/>
      </c>
      <c r="O86" s="8" t="str">
        <f aca="false">IF(H86="","",IF(H86="Sim",IF(I86&gt;=Parâmetros!$G$4,5,4),IF(I86&gt;=Parâmetros!$G$4,3,2)))</f>
        <v/>
      </c>
      <c r="P86" s="8" t="str">
        <f aca="false">IF(J86="","",J86)</f>
        <v/>
      </c>
      <c r="Q86" s="8" t="str">
        <f aca="false">IF(COUNT(K86:P86)&lt;6,"",ROUND(100*(K86*Parâmetros!$B$12+L86*Parâmetros!$B$13+M86*Parâmetros!$B$14+N86*Parâmetros!$B$15+O86*Parâmetros!$B$16+P86*Parâmetros!$B$17)/(5*SUM(Parâmetros!$B$12:$B$17)),0))</f>
        <v/>
      </c>
      <c r="R86" s="9" t="str">
        <f aca="false">IF(Q86="","",IF(Q86&gt;=Parâmetros!$B$20,"Modelar já",IF(Q86&gt;=Parâmetros!$B$21,"Monitorar","Descartar")))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7"/>
      <c r="J87" s="6"/>
      <c r="K87" s="8" t="str">
        <f aca="false">IF(D87="","",IF(D87&gt;=Parâmetros!$C$7,5,IF(D87&gt;=Parâmetros!$C$6,4,IF(D87&gt;=Parâmetros!$C$5,3,IF(D87&gt;=Parâmetros!$C$4,2,1)))))</f>
        <v/>
      </c>
      <c r="L87" s="8" t="str">
        <f aca="false">IF(E87="","",IF(E87&gt;=Parâmetros!$D$7,5,IF(E87&gt;=Parâmetros!$D$6,4,IF(E87&gt;=Parâmetros!$D$5,3,IF(E87&gt;=Parâmetros!$D$4,2,1)))))</f>
        <v/>
      </c>
      <c r="M87" s="8" t="str">
        <f aca="false">IF(F87="","",IF(F87&gt;=Parâmetros!$E$7,5,IF(F87&gt;=Parâmetros!$E$6,4,IF(F87&gt;=Parâmetros!$E$5,3,IF(F87&gt;=Parâmetros!$E$4,2,1)))))</f>
        <v/>
      </c>
      <c r="N87" s="8" t="str">
        <f aca="false">IF(G87="","",IF(G87&gt;=Parâmetros!$F$7,5,IF(G87&gt;=Parâmetros!$F$6,4,IF(G87&gt;=Parâmetros!$F$5,3,IF(G87&gt;=Parâmetros!$F$4,2,1)))))</f>
        <v/>
      </c>
      <c r="O87" s="8" t="str">
        <f aca="false">IF(H87="","",IF(H87="Sim",IF(I87&gt;=Parâmetros!$G$4,5,4),IF(I87&gt;=Parâmetros!$G$4,3,2)))</f>
        <v/>
      </c>
      <c r="P87" s="8" t="str">
        <f aca="false">IF(J87="","",J87)</f>
        <v/>
      </c>
      <c r="Q87" s="8" t="str">
        <f aca="false">IF(COUNT(K87:P87)&lt;6,"",ROUND(100*(K87*Parâmetros!$B$12+L87*Parâmetros!$B$13+M87*Parâmetros!$B$14+N87*Parâmetros!$B$15+O87*Parâmetros!$B$16+P87*Parâmetros!$B$17)/(5*SUM(Parâmetros!$B$12:$B$17)),0))</f>
        <v/>
      </c>
      <c r="R87" s="9" t="str">
        <f aca="false">IF(Q87="","",IF(Q87&gt;=Parâmetros!$B$20,"Modelar já",IF(Q87&gt;=Parâmetros!$B$21,"Monitorar","Descartar")))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7"/>
      <c r="J88" s="6"/>
      <c r="K88" s="8" t="str">
        <f aca="false">IF(D88="","",IF(D88&gt;=Parâmetros!$C$7,5,IF(D88&gt;=Parâmetros!$C$6,4,IF(D88&gt;=Parâmetros!$C$5,3,IF(D88&gt;=Parâmetros!$C$4,2,1)))))</f>
        <v/>
      </c>
      <c r="L88" s="8" t="str">
        <f aca="false">IF(E88="","",IF(E88&gt;=Parâmetros!$D$7,5,IF(E88&gt;=Parâmetros!$D$6,4,IF(E88&gt;=Parâmetros!$D$5,3,IF(E88&gt;=Parâmetros!$D$4,2,1)))))</f>
        <v/>
      </c>
      <c r="M88" s="8" t="str">
        <f aca="false">IF(F88="","",IF(F88&gt;=Parâmetros!$E$7,5,IF(F88&gt;=Parâmetros!$E$6,4,IF(F88&gt;=Parâmetros!$E$5,3,IF(F88&gt;=Parâmetros!$E$4,2,1)))))</f>
        <v/>
      </c>
      <c r="N88" s="8" t="str">
        <f aca="false">IF(G88="","",IF(G88&gt;=Parâmetros!$F$7,5,IF(G88&gt;=Parâmetros!$F$6,4,IF(G88&gt;=Parâmetros!$F$5,3,IF(G88&gt;=Parâmetros!$F$4,2,1)))))</f>
        <v/>
      </c>
      <c r="O88" s="8" t="str">
        <f aca="false">IF(H88="","",IF(H88="Sim",IF(I88&gt;=Parâmetros!$G$4,5,4),IF(I88&gt;=Parâmetros!$G$4,3,2)))</f>
        <v/>
      </c>
      <c r="P88" s="8" t="str">
        <f aca="false">IF(J88="","",J88)</f>
        <v/>
      </c>
      <c r="Q88" s="8" t="str">
        <f aca="false">IF(COUNT(K88:P88)&lt;6,"",ROUND(100*(K88*Parâmetros!$B$12+L88*Parâmetros!$B$13+M88*Parâmetros!$B$14+N88*Parâmetros!$B$15+O88*Parâmetros!$B$16+P88*Parâmetros!$B$17)/(5*SUM(Parâmetros!$B$12:$B$17)),0))</f>
        <v/>
      </c>
      <c r="R88" s="9" t="str">
        <f aca="false">IF(Q88="","",IF(Q88&gt;=Parâmetros!$B$20,"Modelar já",IF(Q88&gt;=Parâmetros!$B$21,"Monitorar","Descartar")))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7"/>
      <c r="J89" s="6"/>
      <c r="K89" s="8" t="str">
        <f aca="false">IF(D89="","",IF(D89&gt;=Parâmetros!$C$7,5,IF(D89&gt;=Parâmetros!$C$6,4,IF(D89&gt;=Parâmetros!$C$5,3,IF(D89&gt;=Parâmetros!$C$4,2,1)))))</f>
        <v/>
      </c>
      <c r="L89" s="8" t="str">
        <f aca="false">IF(E89="","",IF(E89&gt;=Parâmetros!$D$7,5,IF(E89&gt;=Parâmetros!$D$6,4,IF(E89&gt;=Parâmetros!$D$5,3,IF(E89&gt;=Parâmetros!$D$4,2,1)))))</f>
        <v/>
      </c>
      <c r="M89" s="8" t="str">
        <f aca="false">IF(F89="","",IF(F89&gt;=Parâmetros!$E$7,5,IF(F89&gt;=Parâmetros!$E$6,4,IF(F89&gt;=Parâmetros!$E$5,3,IF(F89&gt;=Parâmetros!$E$4,2,1)))))</f>
        <v/>
      </c>
      <c r="N89" s="8" t="str">
        <f aca="false">IF(G89="","",IF(G89&gt;=Parâmetros!$F$7,5,IF(G89&gt;=Parâmetros!$F$6,4,IF(G89&gt;=Parâmetros!$F$5,3,IF(G89&gt;=Parâmetros!$F$4,2,1)))))</f>
        <v/>
      </c>
      <c r="O89" s="8" t="str">
        <f aca="false">IF(H89="","",IF(H89="Sim",IF(I89&gt;=Parâmetros!$G$4,5,4),IF(I89&gt;=Parâmetros!$G$4,3,2)))</f>
        <v/>
      </c>
      <c r="P89" s="8" t="str">
        <f aca="false">IF(J89="","",J89)</f>
        <v/>
      </c>
      <c r="Q89" s="8" t="str">
        <f aca="false">IF(COUNT(K89:P89)&lt;6,"",ROUND(100*(K89*Parâmetros!$B$12+L89*Parâmetros!$B$13+M89*Parâmetros!$B$14+N89*Parâmetros!$B$15+O89*Parâmetros!$B$16+P89*Parâmetros!$B$17)/(5*SUM(Parâmetros!$B$12:$B$17)),0))</f>
        <v/>
      </c>
      <c r="R89" s="9" t="str">
        <f aca="false">IF(Q89="","",IF(Q89&gt;=Parâmetros!$B$20,"Modelar já",IF(Q89&gt;=Parâmetros!$B$21,"Monitorar","Descartar")))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7"/>
      <c r="J90" s="6"/>
      <c r="K90" s="8" t="str">
        <f aca="false">IF(D90="","",IF(D90&gt;=Parâmetros!$C$7,5,IF(D90&gt;=Parâmetros!$C$6,4,IF(D90&gt;=Parâmetros!$C$5,3,IF(D90&gt;=Parâmetros!$C$4,2,1)))))</f>
        <v/>
      </c>
      <c r="L90" s="8" t="str">
        <f aca="false">IF(E90="","",IF(E90&gt;=Parâmetros!$D$7,5,IF(E90&gt;=Parâmetros!$D$6,4,IF(E90&gt;=Parâmetros!$D$5,3,IF(E90&gt;=Parâmetros!$D$4,2,1)))))</f>
        <v/>
      </c>
      <c r="M90" s="8" t="str">
        <f aca="false">IF(F90="","",IF(F90&gt;=Parâmetros!$E$7,5,IF(F90&gt;=Parâmetros!$E$6,4,IF(F90&gt;=Parâmetros!$E$5,3,IF(F90&gt;=Parâmetros!$E$4,2,1)))))</f>
        <v/>
      </c>
      <c r="N90" s="8" t="str">
        <f aca="false">IF(G90="","",IF(G90&gt;=Parâmetros!$F$7,5,IF(G90&gt;=Parâmetros!$F$6,4,IF(G90&gt;=Parâmetros!$F$5,3,IF(G90&gt;=Parâmetros!$F$4,2,1)))))</f>
        <v/>
      </c>
      <c r="O90" s="8" t="str">
        <f aca="false">IF(H90="","",IF(H90="Sim",IF(I90&gt;=Parâmetros!$G$4,5,4),IF(I90&gt;=Parâmetros!$G$4,3,2)))</f>
        <v/>
      </c>
      <c r="P90" s="8" t="str">
        <f aca="false">IF(J90="","",J90)</f>
        <v/>
      </c>
      <c r="Q90" s="8" t="str">
        <f aca="false">IF(COUNT(K90:P90)&lt;6,"",ROUND(100*(K90*Parâmetros!$B$12+L90*Parâmetros!$B$13+M90*Parâmetros!$B$14+N90*Parâmetros!$B$15+O90*Parâmetros!$B$16+P90*Parâmetros!$B$17)/(5*SUM(Parâmetros!$B$12:$B$17)),0))</f>
        <v/>
      </c>
      <c r="R90" s="9" t="str">
        <f aca="false">IF(Q90="","",IF(Q90&gt;=Parâmetros!$B$20,"Modelar já",IF(Q90&gt;=Parâmetros!$B$21,"Monitorar","Descartar")))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7"/>
      <c r="J91" s="6"/>
      <c r="K91" s="8" t="str">
        <f aca="false">IF(D91="","",IF(D91&gt;=Parâmetros!$C$7,5,IF(D91&gt;=Parâmetros!$C$6,4,IF(D91&gt;=Parâmetros!$C$5,3,IF(D91&gt;=Parâmetros!$C$4,2,1)))))</f>
        <v/>
      </c>
      <c r="L91" s="8" t="str">
        <f aca="false">IF(E91="","",IF(E91&gt;=Parâmetros!$D$7,5,IF(E91&gt;=Parâmetros!$D$6,4,IF(E91&gt;=Parâmetros!$D$5,3,IF(E91&gt;=Parâmetros!$D$4,2,1)))))</f>
        <v/>
      </c>
      <c r="M91" s="8" t="str">
        <f aca="false">IF(F91="","",IF(F91&gt;=Parâmetros!$E$7,5,IF(F91&gt;=Parâmetros!$E$6,4,IF(F91&gt;=Parâmetros!$E$5,3,IF(F91&gt;=Parâmetros!$E$4,2,1)))))</f>
        <v/>
      </c>
      <c r="N91" s="8" t="str">
        <f aca="false">IF(G91="","",IF(G91&gt;=Parâmetros!$F$7,5,IF(G91&gt;=Parâmetros!$F$6,4,IF(G91&gt;=Parâmetros!$F$5,3,IF(G91&gt;=Parâmetros!$F$4,2,1)))))</f>
        <v/>
      </c>
      <c r="O91" s="8" t="str">
        <f aca="false">IF(H91="","",IF(H91="Sim",IF(I91&gt;=Parâmetros!$G$4,5,4),IF(I91&gt;=Parâmetros!$G$4,3,2)))</f>
        <v/>
      </c>
      <c r="P91" s="8" t="str">
        <f aca="false">IF(J91="","",J91)</f>
        <v/>
      </c>
      <c r="Q91" s="8" t="str">
        <f aca="false">IF(COUNT(K91:P91)&lt;6,"",ROUND(100*(K91*Parâmetros!$B$12+L91*Parâmetros!$B$13+M91*Parâmetros!$B$14+N91*Parâmetros!$B$15+O91*Parâmetros!$B$16+P91*Parâmetros!$B$17)/(5*SUM(Parâmetros!$B$12:$B$17)),0))</f>
        <v/>
      </c>
      <c r="R91" s="9" t="str">
        <f aca="false">IF(Q91="","",IF(Q91&gt;=Parâmetros!$B$20,"Modelar já",IF(Q91&gt;=Parâmetros!$B$21,"Monitorar","Descartar")))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7"/>
      <c r="J92" s="6"/>
      <c r="K92" s="8" t="str">
        <f aca="false">IF(D92="","",IF(D92&gt;=Parâmetros!$C$7,5,IF(D92&gt;=Parâmetros!$C$6,4,IF(D92&gt;=Parâmetros!$C$5,3,IF(D92&gt;=Parâmetros!$C$4,2,1)))))</f>
        <v/>
      </c>
      <c r="L92" s="8" t="str">
        <f aca="false">IF(E92="","",IF(E92&gt;=Parâmetros!$D$7,5,IF(E92&gt;=Parâmetros!$D$6,4,IF(E92&gt;=Parâmetros!$D$5,3,IF(E92&gt;=Parâmetros!$D$4,2,1)))))</f>
        <v/>
      </c>
      <c r="M92" s="8" t="str">
        <f aca="false">IF(F92="","",IF(F92&gt;=Parâmetros!$E$7,5,IF(F92&gt;=Parâmetros!$E$6,4,IF(F92&gt;=Parâmetros!$E$5,3,IF(F92&gt;=Parâmetros!$E$4,2,1)))))</f>
        <v/>
      </c>
      <c r="N92" s="8" t="str">
        <f aca="false">IF(G92="","",IF(G92&gt;=Parâmetros!$F$7,5,IF(G92&gt;=Parâmetros!$F$6,4,IF(G92&gt;=Parâmetros!$F$5,3,IF(G92&gt;=Parâmetros!$F$4,2,1)))))</f>
        <v/>
      </c>
      <c r="O92" s="8" t="str">
        <f aca="false">IF(H92="","",IF(H92="Sim",IF(I92&gt;=Parâmetros!$G$4,5,4),IF(I92&gt;=Parâmetros!$G$4,3,2)))</f>
        <v/>
      </c>
      <c r="P92" s="8" t="str">
        <f aca="false">IF(J92="","",J92)</f>
        <v/>
      </c>
      <c r="Q92" s="8" t="str">
        <f aca="false">IF(COUNT(K92:P92)&lt;6,"",ROUND(100*(K92*Parâmetros!$B$12+L92*Parâmetros!$B$13+M92*Parâmetros!$B$14+N92*Parâmetros!$B$15+O92*Parâmetros!$B$16+P92*Parâmetros!$B$17)/(5*SUM(Parâmetros!$B$12:$B$17)),0))</f>
        <v/>
      </c>
      <c r="R92" s="9" t="str">
        <f aca="false">IF(Q92="","",IF(Q92&gt;=Parâmetros!$B$20,"Modelar já",IF(Q92&gt;=Parâmetros!$B$21,"Monitorar","Descartar")))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7"/>
      <c r="J93" s="6"/>
      <c r="K93" s="8" t="str">
        <f aca="false">IF(D93="","",IF(D93&gt;=Parâmetros!$C$7,5,IF(D93&gt;=Parâmetros!$C$6,4,IF(D93&gt;=Parâmetros!$C$5,3,IF(D93&gt;=Parâmetros!$C$4,2,1)))))</f>
        <v/>
      </c>
      <c r="L93" s="8" t="str">
        <f aca="false">IF(E93="","",IF(E93&gt;=Parâmetros!$D$7,5,IF(E93&gt;=Parâmetros!$D$6,4,IF(E93&gt;=Parâmetros!$D$5,3,IF(E93&gt;=Parâmetros!$D$4,2,1)))))</f>
        <v/>
      </c>
      <c r="M93" s="8" t="str">
        <f aca="false">IF(F93="","",IF(F93&gt;=Parâmetros!$E$7,5,IF(F93&gt;=Parâmetros!$E$6,4,IF(F93&gt;=Parâmetros!$E$5,3,IF(F93&gt;=Parâmetros!$E$4,2,1)))))</f>
        <v/>
      </c>
      <c r="N93" s="8" t="str">
        <f aca="false">IF(G93="","",IF(G93&gt;=Parâmetros!$F$7,5,IF(G93&gt;=Parâmetros!$F$6,4,IF(G93&gt;=Parâmetros!$F$5,3,IF(G93&gt;=Parâmetros!$F$4,2,1)))))</f>
        <v/>
      </c>
      <c r="O93" s="8" t="str">
        <f aca="false">IF(H93="","",IF(H93="Sim",IF(I93&gt;=Parâmetros!$G$4,5,4),IF(I93&gt;=Parâmetros!$G$4,3,2)))</f>
        <v/>
      </c>
      <c r="P93" s="8" t="str">
        <f aca="false">IF(J93="","",J93)</f>
        <v/>
      </c>
      <c r="Q93" s="8" t="str">
        <f aca="false">IF(COUNT(K93:P93)&lt;6,"",ROUND(100*(K93*Parâmetros!$B$12+L93*Parâmetros!$B$13+M93*Parâmetros!$B$14+N93*Parâmetros!$B$15+O93*Parâmetros!$B$16+P93*Parâmetros!$B$17)/(5*SUM(Parâmetros!$B$12:$B$17)),0))</f>
        <v/>
      </c>
      <c r="R93" s="9" t="str">
        <f aca="false">IF(Q93="","",IF(Q93&gt;=Parâmetros!$B$20,"Modelar já",IF(Q93&gt;=Parâmetros!$B$21,"Monitorar","Descartar")))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7"/>
      <c r="J94" s="6"/>
      <c r="K94" s="8" t="str">
        <f aca="false">IF(D94="","",IF(D94&gt;=Parâmetros!$C$7,5,IF(D94&gt;=Parâmetros!$C$6,4,IF(D94&gt;=Parâmetros!$C$5,3,IF(D94&gt;=Parâmetros!$C$4,2,1)))))</f>
        <v/>
      </c>
      <c r="L94" s="8" t="str">
        <f aca="false">IF(E94="","",IF(E94&gt;=Parâmetros!$D$7,5,IF(E94&gt;=Parâmetros!$D$6,4,IF(E94&gt;=Parâmetros!$D$5,3,IF(E94&gt;=Parâmetros!$D$4,2,1)))))</f>
        <v/>
      </c>
      <c r="M94" s="8" t="str">
        <f aca="false">IF(F94="","",IF(F94&gt;=Parâmetros!$E$7,5,IF(F94&gt;=Parâmetros!$E$6,4,IF(F94&gt;=Parâmetros!$E$5,3,IF(F94&gt;=Parâmetros!$E$4,2,1)))))</f>
        <v/>
      </c>
      <c r="N94" s="8" t="str">
        <f aca="false">IF(G94="","",IF(G94&gt;=Parâmetros!$F$7,5,IF(G94&gt;=Parâmetros!$F$6,4,IF(G94&gt;=Parâmetros!$F$5,3,IF(G94&gt;=Parâmetros!$F$4,2,1)))))</f>
        <v/>
      </c>
      <c r="O94" s="8" t="str">
        <f aca="false">IF(H94="","",IF(H94="Sim",IF(I94&gt;=Parâmetros!$G$4,5,4),IF(I94&gt;=Parâmetros!$G$4,3,2)))</f>
        <v/>
      </c>
      <c r="P94" s="8" t="str">
        <f aca="false">IF(J94="","",J94)</f>
        <v/>
      </c>
      <c r="Q94" s="8" t="str">
        <f aca="false">IF(COUNT(K94:P94)&lt;6,"",ROUND(100*(K94*Parâmetros!$B$12+L94*Parâmetros!$B$13+M94*Parâmetros!$B$14+N94*Parâmetros!$B$15+O94*Parâmetros!$B$16+P94*Parâmetros!$B$17)/(5*SUM(Parâmetros!$B$12:$B$17)),0))</f>
        <v/>
      </c>
      <c r="R94" s="9" t="str">
        <f aca="false">IF(Q94="","",IF(Q94&gt;=Parâmetros!$B$20,"Modelar já",IF(Q94&gt;=Parâmetros!$B$21,"Monitorar","Descartar")))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7"/>
      <c r="J95" s="6"/>
      <c r="K95" s="8" t="str">
        <f aca="false">IF(D95="","",IF(D95&gt;=Parâmetros!$C$7,5,IF(D95&gt;=Parâmetros!$C$6,4,IF(D95&gt;=Parâmetros!$C$5,3,IF(D95&gt;=Parâmetros!$C$4,2,1)))))</f>
        <v/>
      </c>
      <c r="L95" s="8" t="str">
        <f aca="false">IF(E95="","",IF(E95&gt;=Parâmetros!$D$7,5,IF(E95&gt;=Parâmetros!$D$6,4,IF(E95&gt;=Parâmetros!$D$5,3,IF(E95&gt;=Parâmetros!$D$4,2,1)))))</f>
        <v/>
      </c>
      <c r="M95" s="8" t="str">
        <f aca="false">IF(F95="","",IF(F95&gt;=Parâmetros!$E$7,5,IF(F95&gt;=Parâmetros!$E$6,4,IF(F95&gt;=Parâmetros!$E$5,3,IF(F95&gt;=Parâmetros!$E$4,2,1)))))</f>
        <v/>
      </c>
      <c r="N95" s="8" t="str">
        <f aca="false">IF(G95="","",IF(G95&gt;=Parâmetros!$F$7,5,IF(G95&gt;=Parâmetros!$F$6,4,IF(G95&gt;=Parâmetros!$F$5,3,IF(G95&gt;=Parâmetros!$F$4,2,1)))))</f>
        <v/>
      </c>
      <c r="O95" s="8" t="str">
        <f aca="false">IF(H95="","",IF(H95="Sim",IF(I95&gt;=Parâmetros!$G$4,5,4),IF(I95&gt;=Parâmetros!$G$4,3,2)))</f>
        <v/>
      </c>
      <c r="P95" s="8" t="str">
        <f aca="false">IF(J95="","",J95)</f>
        <v/>
      </c>
      <c r="Q95" s="8" t="str">
        <f aca="false">IF(COUNT(K95:P95)&lt;6,"",ROUND(100*(K95*Parâmetros!$B$12+L95*Parâmetros!$B$13+M95*Parâmetros!$B$14+N95*Parâmetros!$B$15+O95*Parâmetros!$B$16+P95*Parâmetros!$B$17)/(5*SUM(Parâmetros!$B$12:$B$17)),0))</f>
        <v/>
      </c>
      <c r="R95" s="9" t="str">
        <f aca="false">IF(Q95="","",IF(Q95&gt;=Parâmetros!$B$20,"Modelar já",IF(Q95&gt;=Parâmetros!$B$21,"Monitorar","Descartar")))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7"/>
      <c r="J96" s="6"/>
      <c r="K96" s="8" t="str">
        <f aca="false">IF(D96="","",IF(D96&gt;=Parâmetros!$C$7,5,IF(D96&gt;=Parâmetros!$C$6,4,IF(D96&gt;=Parâmetros!$C$5,3,IF(D96&gt;=Parâmetros!$C$4,2,1)))))</f>
        <v/>
      </c>
      <c r="L96" s="8" t="str">
        <f aca="false">IF(E96="","",IF(E96&gt;=Parâmetros!$D$7,5,IF(E96&gt;=Parâmetros!$D$6,4,IF(E96&gt;=Parâmetros!$D$5,3,IF(E96&gt;=Parâmetros!$D$4,2,1)))))</f>
        <v/>
      </c>
      <c r="M96" s="8" t="str">
        <f aca="false">IF(F96="","",IF(F96&gt;=Parâmetros!$E$7,5,IF(F96&gt;=Parâmetros!$E$6,4,IF(F96&gt;=Parâmetros!$E$5,3,IF(F96&gt;=Parâmetros!$E$4,2,1)))))</f>
        <v/>
      </c>
      <c r="N96" s="8" t="str">
        <f aca="false">IF(G96="","",IF(G96&gt;=Parâmetros!$F$7,5,IF(G96&gt;=Parâmetros!$F$6,4,IF(G96&gt;=Parâmetros!$F$5,3,IF(G96&gt;=Parâmetros!$F$4,2,1)))))</f>
        <v/>
      </c>
      <c r="O96" s="8" t="str">
        <f aca="false">IF(H96="","",IF(H96="Sim",IF(I96&gt;=Parâmetros!$G$4,5,4),IF(I96&gt;=Parâmetros!$G$4,3,2)))</f>
        <v/>
      </c>
      <c r="P96" s="8" t="str">
        <f aca="false">IF(J96="","",J96)</f>
        <v/>
      </c>
      <c r="Q96" s="8" t="str">
        <f aca="false">IF(COUNT(K96:P96)&lt;6,"",ROUND(100*(K96*Parâmetros!$B$12+L96*Parâmetros!$B$13+M96*Parâmetros!$B$14+N96*Parâmetros!$B$15+O96*Parâmetros!$B$16+P96*Parâmetros!$B$17)/(5*SUM(Parâmetros!$B$12:$B$17)),0))</f>
        <v/>
      </c>
      <c r="R96" s="9" t="str">
        <f aca="false">IF(Q96="","",IF(Q96&gt;=Parâmetros!$B$20,"Modelar já",IF(Q96&gt;=Parâmetros!$B$21,"Monitorar","Descartar")))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7"/>
      <c r="J97" s="6"/>
      <c r="K97" s="8" t="str">
        <f aca="false">IF(D97="","",IF(D97&gt;=Parâmetros!$C$7,5,IF(D97&gt;=Parâmetros!$C$6,4,IF(D97&gt;=Parâmetros!$C$5,3,IF(D97&gt;=Parâmetros!$C$4,2,1)))))</f>
        <v/>
      </c>
      <c r="L97" s="8" t="str">
        <f aca="false">IF(E97="","",IF(E97&gt;=Parâmetros!$D$7,5,IF(E97&gt;=Parâmetros!$D$6,4,IF(E97&gt;=Parâmetros!$D$5,3,IF(E97&gt;=Parâmetros!$D$4,2,1)))))</f>
        <v/>
      </c>
      <c r="M97" s="8" t="str">
        <f aca="false">IF(F97="","",IF(F97&gt;=Parâmetros!$E$7,5,IF(F97&gt;=Parâmetros!$E$6,4,IF(F97&gt;=Parâmetros!$E$5,3,IF(F97&gt;=Parâmetros!$E$4,2,1)))))</f>
        <v/>
      </c>
      <c r="N97" s="8" t="str">
        <f aca="false">IF(G97="","",IF(G97&gt;=Parâmetros!$F$7,5,IF(G97&gt;=Parâmetros!$F$6,4,IF(G97&gt;=Parâmetros!$F$5,3,IF(G97&gt;=Parâmetros!$F$4,2,1)))))</f>
        <v/>
      </c>
      <c r="O97" s="8" t="str">
        <f aca="false">IF(H97="","",IF(H97="Sim",IF(I97&gt;=Parâmetros!$G$4,5,4),IF(I97&gt;=Parâmetros!$G$4,3,2)))</f>
        <v/>
      </c>
      <c r="P97" s="8" t="str">
        <f aca="false">IF(J97="","",J97)</f>
        <v/>
      </c>
      <c r="Q97" s="8" t="str">
        <f aca="false">IF(COUNT(K97:P97)&lt;6,"",ROUND(100*(K97*Parâmetros!$B$12+L97*Parâmetros!$B$13+M97*Parâmetros!$B$14+N97*Parâmetros!$B$15+O97*Parâmetros!$B$16+P97*Parâmetros!$B$17)/(5*SUM(Parâmetros!$B$12:$B$17)),0))</f>
        <v/>
      </c>
      <c r="R97" s="9" t="str">
        <f aca="false">IF(Q97="","",IF(Q97&gt;=Parâmetros!$B$20,"Modelar já",IF(Q97&gt;=Parâmetros!$B$21,"Monitorar","Descartar")))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7"/>
      <c r="J98" s="6"/>
      <c r="K98" s="8" t="str">
        <f aca="false">IF(D98="","",IF(D98&gt;=Parâmetros!$C$7,5,IF(D98&gt;=Parâmetros!$C$6,4,IF(D98&gt;=Parâmetros!$C$5,3,IF(D98&gt;=Parâmetros!$C$4,2,1)))))</f>
        <v/>
      </c>
      <c r="L98" s="8" t="str">
        <f aca="false">IF(E98="","",IF(E98&gt;=Parâmetros!$D$7,5,IF(E98&gt;=Parâmetros!$D$6,4,IF(E98&gt;=Parâmetros!$D$5,3,IF(E98&gt;=Parâmetros!$D$4,2,1)))))</f>
        <v/>
      </c>
      <c r="M98" s="8" t="str">
        <f aca="false">IF(F98="","",IF(F98&gt;=Parâmetros!$E$7,5,IF(F98&gt;=Parâmetros!$E$6,4,IF(F98&gt;=Parâmetros!$E$5,3,IF(F98&gt;=Parâmetros!$E$4,2,1)))))</f>
        <v/>
      </c>
      <c r="N98" s="8" t="str">
        <f aca="false">IF(G98="","",IF(G98&gt;=Parâmetros!$F$7,5,IF(G98&gt;=Parâmetros!$F$6,4,IF(G98&gt;=Parâmetros!$F$5,3,IF(G98&gt;=Parâmetros!$F$4,2,1)))))</f>
        <v/>
      </c>
      <c r="O98" s="8" t="str">
        <f aca="false">IF(H98="","",IF(H98="Sim",IF(I98&gt;=Parâmetros!$G$4,5,4),IF(I98&gt;=Parâmetros!$G$4,3,2)))</f>
        <v/>
      </c>
      <c r="P98" s="8" t="str">
        <f aca="false">IF(J98="","",J98)</f>
        <v/>
      </c>
      <c r="Q98" s="8" t="str">
        <f aca="false">IF(COUNT(K98:P98)&lt;6,"",ROUND(100*(K98*Parâmetros!$B$12+L98*Parâmetros!$B$13+M98*Parâmetros!$B$14+N98*Parâmetros!$B$15+O98*Parâmetros!$B$16+P98*Parâmetros!$B$17)/(5*SUM(Parâmetros!$B$12:$B$17)),0))</f>
        <v/>
      </c>
      <c r="R98" s="9" t="str">
        <f aca="false">IF(Q98="","",IF(Q98&gt;=Parâmetros!$B$20,"Modelar já",IF(Q98&gt;=Parâmetros!$B$21,"Monitorar","Descartar")))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7"/>
      <c r="J99" s="6"/>
      <c r="K99" s="8" t="str">
        <f aca="false">IF(D99="","",IF(D99&gt;=Parâmetros!$C$7,5,IF(D99&gt;=Parâmetros!$C$6,4,IF(D99&gt;=Parâmetros!$C$5,3,IF(D99&gt;=Parâmetros!$C$4,2,1)))))</f>
        <v/>
      </c>
      <c r="L99" s="8" t="str">
        <f aca="false">IF(E99="","",IF(E99&gt;=Parâmetros!$D$7,5,IF(E99&gt;=Parâmetros!$D$6,4,IF(E99&gt;=Parâmetros!$D$5,3,IF(E99&gt;=Parâmetros!$D$4,2,1)))))</f>
        <v/>
      </c>
      <c r="M99" s="8" t="str">
        <f aca="false">IF(F99="","",IF(F99&gt;=Parâmetros!$E$7,5,IF(F99&gt;=Parâmetros!$E$6,4,IF(F99&gt;=Parâmetros!$E$5,3,IF(F99&gt;=Parâmetros!$E$4,2,1)))))</f>
        <v/>
      </c>
      <c r="N99" s="8" t="str">
        <f aca="false">IF(G99="","",IF(G99&gt;=Parâmetros!$F$7,5,IF(G99&gt;=Parâmetros!$F$6,4,IF(G99&gt;=Parâmetros!$F$5,3,IF(G99&gt;=Parâmetros!$F$4,2,1)))))</f>
        <v/>
      </c>
      <c r="O99" s="8" t="str">
        <f aca="false">IF(H99="","",IF(H99="Sim",IF(I99&gt;=Parâmetros!$G$4,5,4),IF(I99&gt;=Parâmetros!$G$4,3,2)))</f>
        <v/>
      </c>
      <c r="P99" s="8" t="str">
        <f aca="false">IF(J99="","",J99)</f>
        <v/>
      </c>
      <c r="Q99" s="8" t="str">
        <f aca="false">IF(COUNT(K99:P99)&lt;6,"",ROUND(100*(K99*Parâmetros!$B$12+L99*Parâmetros!$B$13+M99*Parâmetros!$B$14+N99*Parâmetros!$B$15+O99*Parâmetros!$B$16+P99*Parâmetros!$B$17)/(5*SUM(Parâmetros!$B$12:$B$17)),0))</f>
        <v/>
      </c>
      <c r="R99" s="9" t="str">
        <f aca="false">IF(Q99="","",IF(Q99&gt;=Parâmetros!$B$20,"Modelar já",IF(Q99&gt;=Parâmetros!$B$21,"Monitorar","Descartar")))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7"/>
      <c r="J100" s="6"/>
      <c r="K100" s="8" t="str">
        <f aca="false">IF(D100="","",IF(D100&gt;=Parâmetros!$C$7,5,IF(D100&gt;=Parâmetros!$C$6,4,IF(D100&gt;=Parâmetros!$C$5,3,IF(D100&gt;=Parâmetros!$C$4,2,1)))))</f>
        <v/>
      </c>
      <c r="L100" s="8" t="str">
        <f aca="false">IF(E100="","",IF(E100&gt;=Parâmetros!$D$7,5,IF(E100&gt;=Parâmetros!$D$6,4,IF(E100&gt;=Parâmetros!$D$5,3,IF(E100&gt;=Parâmetros!$D$4,2,1)))))</f>
        <v/>
      </c>
      <c r="M100" s="8" t="str">
        <f aca="false">IF(F100="","",IF(F100&gt;=Parâmetros!$E$7,5,IF(F100&gt;=Parâmetros!$E$6,4,IF(F100&gt;=Parâmetros!$E$5,3,IF(F100&gt;=Parâmetros!$E$4,2,1)))))</f>
        <v/>
      </c>
      <c r="N100" s="8" t="str">
        <f aca="false">IF(G100="","",IF(G100&gt;=Parâmetros!$F$7,5,IF(G100&gt;=Parâmetros!$F$6,4,IF(G100&gt;=Parâmetros!$F$5,3,IF(G100&gt;=Parâmetros!$F$4,2,1)))))</f>
        <v/>
      </c>
      <c r="O100" s="8" t="str">
        <f aca="false">IF(H100="","",IF(H100="Sim",IF(I100&gt;=Parâmetros!$G$4,5,4),IF(I100&gt;=Parâmetros!$G$4,3,2)))</f>
        <v/>
      </c>
      <c r="P100" s="8" t="str">
        <f aca="false">IF(J100="","",J100)</f>
        <v/>
      </c>
      <c r="Q100" s="8" t="str">
        <f aca="false">IF(COUNT(K100:P100)&lt;6,"",ROUND(100*(K100*Parâmetros!$B$12+L100*Parâmetros!$B$13+M100*Parâmetros!$B$14+N100*Parâmetros!$B$15+O100*Parâmetros!$B$16+P100*Parâmetros!$B$17)/(5*SUM(Parâmetros!$B$12:$B$17)),0))</f>
        <v/>
      </c>
      <c r="R100" s="9" t="str">
        <f aca="false">IF(Q100="","",IF(Q100&gt;=Parâmetros!$B$20,"Modelar já",IF(Q100&gt;=Parâmetros!$B$21,"Monitorar","Descartar")))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7"/>
      <c r="J101" s="6"/>
      <c r="K101" s="8" t="str">
        <f aca="false">IF(D101="","",IF(D101&gt;=Parâmetros!$C$7,5,IF(D101&gt;=Parâmetros!$C$6,4,IF(D101&gt;=Parâmetros!$C$5,3,IF(D101&gt;=Parâmetros!$C$4,2,1)))))</f>
        <v/>
      </c>
      <c r="L101" s="8" t="str">
        <f aca="false">IF(E101="","",IF(E101&gt;=Parâmetros!$D$7,5,IF(E101&gt;=Parâmetros!$D$6,4,IF(E101&gt;=Parâmetros!$D$5,3,IF(E101&gt;=Parâmetros!$D$4,2,1)))))</f>
        <v/>
      </c>
      <c r="M101" s="8" t="str">
        <f aca="false">IF(F101="","",IF(F101&gt;=Parâmetros!$E$7,5,IF(F101&gt;=Parâmetros!$E$6,4,IF(F101&gt;=Parâmetros!$E$5,3,IF(F101&gt;=Parâmetros!$E$4,2,1)))))</f>
        <v/>
      </c>
      <c r="N101" s="8" t="str">
        <f aca="false">IF(G101="","",IF(G101&gt;=Parâmetros!$F$7,5,IF(G101&gt;=Parâmetros!$F$6,4,IF(G101&gt;=Parâmetros!$F$5,3,IF(G101&gt;=Parâmetros!$F$4,2,1)))))</f>
        <v/>
      </c>
      <c r="O101" s="8" t="str">
        <f aca="false">IF(H101="","",IF(H101="Sim",IF(I101&gt;=Parâmetros!$G$4,5,4),IF(I101&gt;=Parâmetros!$G$4,3,2)))</f>
        <v/>
      </c>
      <c r="P101" s="8" t="str">
        <f aca="false">IF(J101="","",J101)</f>
        <v/>
      </c>
      <c r="Q101" s="8" t="str">
        <f aca="false">IF(COUNT(K101:P101)&lt;6,"",ROUND(100*(K101*Parâmetros!$B$12+L101*Parâmetros!$B$13+M101*Parâmetros!$B$14+N101*Parâmetros!$B$15+O101*Parâmetros!$B$16+P101*Parâmetros!$B$17)/(5*SUM(Parâmetros!$B$12:$B$17)),0))</f>
        <v/>
      </c>
      <c r="R101" s="9" t="str">
        <f aca="false">IF(Q101="","",IF(Q101&gt;=Parâmetros!$B$20,"Modelar já",IF(Q101&gt;=Parâmetros!$B$21,"Monitorar","Descartar")))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7"/>
      <c r="J102" s="6"/>
      <c r="K102" s="8" t="str">
        <f aca="false">IF(D102="","",IF(D102&gt;=Parâmetros!$C$7,5,IF(D102&gt;=Parâmetros!$C$6,4,IF(D102&gt;=Parâmetros!$C$5,3,IF(D102&gt;=Parâmetros!$C$4,2,1)))))</f>
        <v/>
      </c>
      <c r="L102" s="8" t="str">
        <f aca="false">IF(E102="","",IF(E102&gt;=Parâmetros!$D$7,5,IF(E102&gt;=Parâmetros!$D$6,4,IF(E102&gt;=Parâmetros!$D$5,3,IF(E102&gt;=Parâmetros!$D$4,2,1)))))</f>
        <v/>
      </c>
      <c r="M102" s="8" t="str">
        <f aca="false">IF(F102="","",IF(F102&gt;=Parâmetros!$E$7,5,IF(F102&gt;=Parâmetros!$E$6,4,IF(F102&gt;=Parâmetros!$E$5,3,IF(F102&gt;=Parâmetros!$E$4,2,1)))))</f>
        <v/>
      </c>
      <c r="N102" s="8" t="str">
        <f aca="false">IF(G102="","",IF(G102&gt;=Parâmetros!$F$7,5,IF(G102&gt;=Parâmetros!$F$6,4,IF(G102&gt;=Parâmetros!$F$5,3,IF(G102&gt;=Parâmetros!$F$4,2,1)))))</f>
        <v/>
      </c>
      <c r="O102" s="8" t="str">
        <f aca="false">IF(H102="","",IF(H102="Sim",IF(I102&gt;=Parâmetros!$G$4,5,4),IF(I102&gt;=Parâmetros!$G$4,3,2)))</f>
        <v/>
      </c>
      <c r="P102" s="8" t="str">
        <f aca="false">IF(J102="","",J102)</f>
        <v/>
      </c>
      <c r="Q102" s="8" t="str">
        <f aca="false">IF(COUNT(K102:P102)&lt;6,"",ROUND(100*(K102*Parâmetros!$B$12+L102*Parâmetros!$B$13+M102*Parâmetros!$B$14+N102*Parâmetros!$B$15+O102*Parâmetros!$B$16+P102*Parâmetros!$B$17)/(5*SUM(Parâmetros!$B$12:$B$17)),0))</f>
        <v/>
      </c>
      <c r="R102" s="9" t="str">
        <f aca="false">IF(Q102="","",IF(Q102&gt;=Parâmetros!$B$20,"Modelar já",IF(Q102&gt;=Parâmetros!$B$21,"Monitorar","Descartar")))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7"/>
      <c r="J103" s="6"/>
      <c r="K103" s="8" t="str">
        <f aca="false">IF(D103="","",IF(D103&gt;=Parâmetros!$C$7,5,IF(D103&gt;=Parâmetros!$C$6,4,IF(D103&gt;=Parâmetros!$C$5,3,IF(D103&gt;=Parâmetros!$C$4,2,1)))))</f>
        <v/>
      </c>
      <c r="L103" s="8" t="str">
        <f aca="false">IF(E103="","",IF(E103&gt;=Parâmetros!$D$7,5,IF(E103&gt;=Parâmetros!$D$6,4,IF(E103&gt;=Parâmetros!$D$5,3,IF(E103&gt;=Parâmetros!$D$4,2,1)))))</f>
        <v/>
      </c>
      <c r="M103" s="8" t="str">
        <f aca="false">IF(F103="","",IF(F103&gt;=Parâmetros!$E$7,5,IF(F103&gt;=Parâmetros!$E$6,4,IF(F103&gt;=Parâmetros!$E$5,3,IF(F103&gt;=Parâmetros!$E$4,2,1)))))</f>
        <v/>
      </c>
      <c r="N103" s="8" t="str">
        <f aca="false">IF(G103="","",IF(G103&gt;=Parâmetros!$F$7,5,IF(G103&gt;=Parâmetros!$F$6,4,IF(G103&gt;=Parâmetros!$F$5,3,IF(G103&gt;=Parâmetros!$F$4,2,1)))))</f>
        <v/>
      </c>
      <c r="O103" s="8" t="str">
        <f aca="false">IF(H103="","",IF(H103="Sim",IF(I103&gt;=Parâmetros!$G$4,5,4),IF(I103&gt;=Parâmetros!$G$4,3,2)))</f>
        <v/>
      </c>
      <c r="P103" s="8" t="str">
        <f aca="false">IF(J103="","",J103)</f>
        <v/>
      </c>
      <c r="Q103" s="8" t="str">
        <f aca="false">IF(COUNT(K103:P103)&lt;6,"",ROUND(100*(K103*Parâmetros!$B$12+L103*Parâmetros!$B$13+M103*Parâmetros!$B$14+N103*Parâmetros!$B$15+O103*Parâmetros!$B$16+P103*Parâmetros!$B$17)/(5*SUM(Parâmetros!$B$12:$B$17)),0))</f>
        <v/>
      </c>
      <c r="R103" s="9" t="str">
        <f aca="false">IF(Q103="","",IF(Q103&gt;=Parâmetros!$B$20,"Modelar já",IF(Q103&gt;=Parâmetros!$B$21,"Monitorar","Descartar")))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7"/>
      <c r="J104" s="6"/>
      <c r="K104" s="8" t="str">
        <f aca="false">IF(D104="","",IF(D104&gt;=Parâmetros!$C$7,5,IF(D104&gt;=Parâmetros!$C$6,4,IF(D104&gt;=Parâmetros!$C$5,3,IF(D104&gt;=Parâmetros!$C$4,2,1)))))</f>
        <v/>
      </c>
      <c r="L104" s="8" t="str">
        <f aca="false">IF(E104="","",IF(E104&gt;=Parâmetros!$D$7,5,IF(E104&gt;=Parâmetros!$D$6,4,IF(E104&gt;=Parâmetros!$D$5,3,IF(E104&gt;=Parâmetros!$D$4,2,1)))))</f>
        <v/>
      </c>
      <c r="M104" s="8" t="str">
        <f aca="false">IF(F104="","",IF(F104&gt;=Parâmetros!$E$7,5,IF(F104&gt;=Parâmetros!$E$6,4,IF(F104&gt;=Parâmetros!$E$5,3,IF(F104&gt;=Parâmetros!$E$4,2,1)))))</f>
        <v/>
      </c>
      <c r="N104" s="8" t="str">
        <f aca="false">IF(G104="","",IF(G104&gt;=Parâmetros!$F$7,5,IF(G104&gt;=Parâmetros!$F$6,4,IF(G104&gt;=Parâmetros!$F$5,3,IF(G104&gt;=Parâmetros!$F$4,2,1)))))</f>
        <v/>
      </c>
      <c r="O104" s="8" t="str">
        <f aca="false">IF(H104="","",IF(H104="Sim",IF(I104&gt;=Parâmetros!$G$4,5,4),IF(I104&gt;=Parâmetros!$G$4,3,2)))</f>
        <v/>
      </c>
      <c r="P104" s="8" t="str">
        <f aca="false">IF(J104="","",J104)</f>
        <v/>
      </c>
      <c r="Q104" s="8" t="str">
        <f aca="false">IF(COUNT(K104:P104)&lt;6,"",ROUND(100*(K104*Parâmetros!$B$12+L104*Parâmetros!$B$13+M104*Parâmetros!$B$14+N104*Parâmetros!$B$15+O104*Parâmetros!$B$16+P104*Parâmetros!$B$17)/(5*SUM(Parâmetros!$B$12:$B$17)),0))</f>
        <v/>
      </c>
      <c r="R104" s="9" t="str">
        <f aca="false">IF(Q104="","",IF(Q104&gt;=Parâmetros!$B$20,"Modelar já",IF(Q104&gt;=Parâmetros!$B$21,"Monitorar","Descartar")))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7"/>
      <c r="J105" s="6"/>
      <c r="K105" s="8" t="str">
        <f aca="false">IF(D105="","",IF(D105&gt;=Parâmetros!$C$7,5,IF(D105&gt;=Parâmetros!$C$6,4,IF(D105&gt;=Parâmetros!$C$5,3,IF(D105&gt;=Parâmetros!$C$4,2,1)))))</f>
        <v/>
      </c>
      <c r="L105" s="8" t="str">
        <f aca="false">IF(E105="","",IF(E105&gt;=Parâmetros!$D$7,5,IF(E105&gt;=Parâmetros!$D$6,4,IF(E105&gt;=Parâmetros!$D$5,3,IF(E105&gt;=Parâmetros!$D$4,2,1)))))</f>
        <v/>
      </c>
      <c r="M105" s="8" t="str">
        <f aca="false">IF(F105="","",IF(F105&gt;=Parâmetros!$E$7,5,IF(F105&gt;=Parâmetros!$E$6,4,IF(F105&gt;=Parâmetros!$E$5,3,IF(F105&gt;=Parâmetros!$E$4,2,1)))))</f>
        <v/>
      </c>
      <c r="N105" s="8" t="str">
        <f aca="false">IF(G105="","",IF(G105&gt;=Parâmetros!$F$7,5,IF(G105&gt;=Parâmetros!$F$6,4,IF(G105&gt;=Parâmetros!$F$5,3,IF(G105&gt;=Parâmetros!$F$4,2,1)))))</f>
        <v/>
      </c>
      <c r="O105" s="8" t="str">
        <f aca="false">IF(H105="","",IF(H105="Sim",IF(I105&gt;=Parâmetros!$G$4,5,4),IF(I105&gt;=Parâmetros!$G$4,3,2)))</f>
        <v/>
      </c>
      <c r="P105" s="8" t="str">
        <f aca="false">IF(J105="","",J105)</f>
        <v/>
      </c>
      <c r="Q105" s="8" t="str">
        <f aca="false">IF(COUNT(K105:P105)&lt;6,"",ROUND(100*(K105*Parâmetros!$B$12+L105*Parâmetros!$B$13+M105*Parâmetros!$B$14+N105*Parâmetros!$B$15+O105*Parâmetros!$B$16+P105*Parâmetros!$B$17)/(5*SUM(Parâmetros!$B$12:$B$17)),0))</f>
        <v/>
      </c>
      <c r="R105" s="9" t="str">
        <f aca="false">IF(Q105="","",IF(Q105&gt;=Parâmetros!$B$20,"Modelar já",IF(Q105&gt;=Parâmetros!$B$21,"Monitorar","Descartar")))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7"/>
      <c r="J106" s="6"/>
      <c r="K106" s="8" t="str">
        <f aca="false">IF(D106="","",IF(D106&gt;=Parâmetros!$C$7,5,IF(D106&gt;=Parâmetros!$C$6,4,IF(D106&gt;=Parâmetros!$C$5,3,IF(D106&gt;=Parâmetros!$C$4,2,1)))))</f>
        <v/>
      </c>
      <c r="L106" s="8" t="str">
        <f aca="false">IF(E106="","",IF(E106&gt;=Parâmetros!$D$7,5,IF(E106&gt;=Parâmetros!$D$6,4,IF(E106&gt;=Parâmetros!$D$5,3,IF(E106&gt;=Parâmetros!$D$4,2,1)))))</f>
        <v/>
      </c>
      <c r="M106" s="8" t="str">
        <f aca="false">IF(F106="","",IF(F106&gt;=Parâmetros!$E$7,5,IF(F106&gt;=Parâmetros!$E$6,4,IF(F106&gt;=Parâmetros!$E$5,3,IF(F106&gt;=Parâmetros!$E$4,2,1)))))</f>
        <v/>
      </c>
      <c r="N106" s="8" t="str">
        <f aca="false">IF(G106="","",IF(G106&gt;=Parâmetros!$F$7,5,IF(G106&gt;=Parâmetros!$F$6,4,IF(G106&gt;=Parâmetros!$F$5,3,IF(G106&gt;=Parâmetros!$F$4,2,1)))))</f>
        <v/>
      </c>
      <c r="O106" s="8" t="str">
        <f aca="false">IF(H106="","",IF(H106="Sim",IF(I106&gt;=Parâmetros!$G$4,5,4),IF(I106&gt;=Parâmetros!$G$4,3,2)))</f>
        <v/>
      </c>
      <c r="P106" s="8" t="str">
        <f aca="false">IF(J106="","",J106)</f>
        <v/>
      </c>
      <c r="Q106" s="8" t="str">
        <f aca="false">IF(COUNT(K106:P106)&lt;6,"",ROUND(100*(K106*Parâmetros!$B$12+L106*Parâmetros!$B$13+M106*Parâmetros!$B$14+N106*Parâmetros!$B$15+O106*Parâmetros!$B$16+P106*Parâmetros!$B$17)/(5*SUM(Parâmetros!$B$12:$B$17)),0))</f>
        <v/>
      </c>
      <c r="R106" s="9" t="str">
        <f aca="false">IF(Q106="","",IF(Q106&gt;=Parâmetros!$B$20,"Modelar já",IF(Q106&gt;=Parâmetros!$B$21,"Monitorar","Descartar")))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7"/>
      <c r="J107" s="6"/>
      <c r="K107" s="8" t="str">
        <f aca="false">IF(D107="","",IF(D107&gt;=Parâmetros!$C$7,5,IF(D107&gt;=Parâmetros!$C$6,4,IF(D107&gt;=Parâmetros!$C$5,3,IF(D107&gt;=Parâmetros!$C$4,2,1)))))</f>
        <v/>
      </c>
      <c r="L107" s="8" t="str">
        <f aca="false">IF(E107="","",IF(E107&gt;=Parâmetros!$D$7,5,IF(E107&gt;=Parâmetros!$D$6,4,IF(E107&gt;=Parâmetros!$D$5,3,IF(E107&gt;=Parâmetros!$D$4,2,1)))))</f>
        <v/>
      </c>
      <c r="M107" s="8" t="str">
        <f aca="false">IF(F107="","",IF(F107&gt;=Parâmetros!$E$7,5,IF(F107&gt;=Parâmetros!$E$6,4,IF(F107&gt;=Parâmetros!$E$5,3,IF(F107&gt;=Parâmetros!$E$4,2,1)))))</f>
        <v/>
      </c>
      <c r="N107" s="8" t="str">
        <f aca="false">IF(G107="","",IF(G107&gt;=Parâmetros!$F$7,5,IF(G107&gt;=Parâmetros!$F$6,4,IF(G107&gt;=Parâmetros!$F$5,3,IF(G107&gt;=Parâmetros!$F$4,2,1)))))</f>
        <v/>
      </c>
      <c r="O107" s="8" t="str">
        <f aca="false">IF(H107="","",IF(H107="Sim",IF(I107&gt;=Parâmetros!$G$4,5,4),IF(I107&gt;=Parâmetros!$G$4,3,2)))</f>
        <v/>
      </c>
      <c r="P107" s="8" t="str">
        <f aca="false">IF(J107="","",J107)</f>
        <v/>
      </c>
      <c r="Q107" s="8" t="str">
        <f aca="false">IF(COUNT(K107:P107)&lt;6,"",ROUND(100*(K107*Parâmetros!$B$12+L107*Parâmetros!$B$13+M107*Parâmetros!$B$14+N107*Parâmetros!$B$15+O107*Parâmetros!$B$16+P107*Parâmetros!$B$17)/(5*SUM(Parâmetros!$B$12:$B$17)),0))</f>
        <v/>
      </c>
      <c r="R107" s="9" t="str">
        <f aca="false">IF(Q107="","",IF(Q107&gt;=Parâmetros!$B$20,"Modelar já",IF(Q107&gt;=Parâmetros!$B$21,"Monitorar","Descartar")))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7"/>
      <c r="J108" s="6"/>
      <c r="K108" s="8" t="str">
        <f aca="false">IF(D108="","",IF(D108&gt;=Parâmetros!$C$7,5,IF(D108&gt;=Parâmetros!$C$6,4,IF(D108&gt;=Parâmetros!$C$5,3,IF(D108&gt;=Parâmetros!$C$4,2,1)))))</f>
        <v/>
      </c>
      <c r="L108" s="8" t="str">
        <f aca="false">IF(E108="","",IF(E108&gt;=Parâmetros!$D$7,5,IF(E108&gt;=Parâmetros!$D$6,4,IF(E108&gt;=Parâmetros!$D$5,3,IF(E108&gt;=Parâmetros!$D$4,2,1)))))</f>
        <v/>
      </c>
      <c r="M108" s="8" t="str">
        <f aca="false">IF(F108="","",IF(F108&gt;=Parâmetros!$E$7,5,IF(F108&gt;=Parâmetros!$E$6,4,IF(F108&gt;=Parâmetros!$E$5,3,IF(F108&gt;=Parâmetros!$E$4,2,1)))))</f>
        <v/>
      </c>
      <c r="N108" s="8" t="str">
        <f aca="false">IF(G108="","",IF(G108&gt;=Parâmetros!$F$7,5,IF(G108&gt;=Parâmetros!$F$6,4,IF(G108&gt;=Parâmetros!$F$5,3,IF(G108&gt;=Parâmetros!$F$4,2,1)))))</f>
        <v/>
      </c>
      <c r="O108" s="8" t="str">
        <f aca="false">IF(H108="","",IF(H108="Sim",IF(I108&gt;=Parâmetros!$G$4,5,4),IF(I108&gt;=Parâmetros!$G$4,3,2)))</f>
        <v/>
      </c>
      <c r="P108" s="8" t="str">
        <f aca="false">IF(J108="","",J108)</f>
        <v/>
      </c>
      <c r="Q108" s="8" t="str">
        <f aca="false">IF(COUNT(K108:P108)&lt;6,"",ROUND(100*(K108*Parâmetros!$B$12+L108*Parâmetros!$B$13+M108*Parâmetros!$B$14+N108*Parâmetros!$B$15+O108*Parâmetros!$B$16+P108*Parâmetros!$B$17)/(5*SUM(Parâmetros!$B$12:$B$17)),0))</f>
        <v/>
      </c>
      <c r="R108" s="9" t="str">
        <f aca="false">IF(Q108="","",IF(Q108&gt;=Parâmetros!$B$20,"Modelar já",IF(Q108&gt;=Parâmetros!$B$21,"Monitorar","Descartar")))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7"/>
      <c r="J109" s="6"/>
      <c r="K109" s="8" t="str">
        <f aca="false">IF(D109="","",IF(D109&gt;=Parâmetros!$C$7,5,IF(D109&gt;=Parâmetros!$C$6,4,IF(D109&gt;=Parâmetros!$C$5,3,IF(D109&gt;=Parâmetros!$C$4,2,1)))))</f>
        <v/>
      </c>
      <c r="L109" s="8" t="str">
        <f aca="false">IF(E109="","",IF(E109&gt;=Parâmetros!$D$7,5,IF(E109&gt;=Parâmetros!$D$6,4,IF(E109&gt;=Parâmetros!$D$5,3,IF(E109&gt;=Parâmetros!$D$4,2,1)))))</f>
        <v/>
      </c>
      <c r="M109" s="8" t="str">
        <f aca="false">IF(F109="","",IF(F109&gt;=Parâmetros!$E$7,5,IF(F109&gt;=Parâmetros!$E$6,4,IF(F109&gt;=Parâmetros!$E$5,3,IF(F109&gt;=Parâmetros!$E$4,2,1)))))</f>
        <v/>
      </c>
      <c r="N109" s="8" t="str">
        <f aca="false">IF(G109="","",IF(G109&gt;=Parâmetros!$F$7,5,IF(G109&gt;=Parâmetros!$F$6,4,IF(G109&gt;=Parâmetros!$F$5,3,IF(G109&gt;=Parâmetros!$F$4,2,1)))))</f>
        <v/>
      </c>
      <c r="O109" s="8" t="str">
        <f aca="false">IF(H109="","",IF(H109="Sim",IF(I109&gt;=Parâmetros!$G$4,5,4),IF(I109&gt;=Parâmetros!$G$4,3,2)))</f>
        <v/>
      </c>
      <c r="P109" s="8" t="str">
        <f aca="false">IF(J109="","",J109)</f>
        <v/>
      </c>
      <c r="Q109" s="8" t="str">
        <f aca="false">IF(COUNT(K109:P109)&lt;6,"",ROUND(100*(K109*Parâmetros!$B$12+L109*Parâmetros!$B$13+M109*Parâmetros!$B$14+N109*Parâmetros!$B$15+O109*Parâmetros!$B$16+P109*Parâmetros!$B$17)/(5*SUM(Parâmetros!$B$12:$B$17)),0))</f>
        <v/>
      </c>
      <c r="R109" s="9" t="str">
        <f aca="false">IF(Q109="","",IF(Q109&gt;=Parâmetros!$B$20,"Modelar já",IF(Q109&gt;=Parâmetros!$B$21,"Monitorar","Descartar")))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7"/>
      <c r="J110" s="6"/>
      <c r="K110" s="8" t="str">
        <f aca="false">IF(D110="","",IF(D110&gt;=Parâmetros!$C$7,5,IF(D110&gt;=Parâmetros!$C$6,4,IF(D110&gt;=Parâmetros!$C$5,3,IF(D110&gt;=Parâmetros!$C$4,2,1)))))</f>
        <v/>
      </c>
      <c r="L110" s="8" t="str">
        <f aca="false">IF(E110="","",IF(E110&gt;=Parâmetros!$D$7,5,IF(E110&gt;=Parâmetros!$D$6,4,IF(E110&gt;=Parâmetros!$D$5,3,IF(E110&gt;=Parâmetros!$D$4,2,1)))))</f>
        <v/>
      </c>
      <c r="M110" s="8" t="str">
        <f aca="false">IF(F110="","",IF(F110&gt;=Parâmetros!$E$7,5,IF(F110&gt;=Parâmetros!$E$6,4,IF(F110&gt;=Parâmetros!$E$5,3,IF(F110&gt;=Parâmetros!$E$4,2,1)))))</f>
        <v/>
      </c>
      <c r="N110" s="8" t="str">
        <f aca="false">IF(G110="","",IF(G110&gt;=Parâmetros!$F$7,5,IF(G110&gt;=Parâmetros!$F$6,4,IF(G110&gt;=Parâmetros!$F$5,3,IF(G110&gt;=Parâmetros!$F$4,2,1)))))</f>
        <v/>
      </c>
      <c r="O110" s="8" t="str">
        <f aca="false">IF(H110="","",IF(H110="Sim",IF(I110&gt;=Parâmetros!$G$4,5,4),IF(I110&gt;=Parâmetros!$G$4,3,2)))</f>
        <v/>
      </c>
      <c r="P110" s="8" t="str">
        <f aca="false">IF(J110="","",J110)</f>
        <v/>
      </c>
      <c r="Q110" s="8" t="str">
        <f aca="false">IF(COUNT(K110:P110)&lt;6,"",ROUND(100*(K110*Parâmetros!$B$12+L110*Parâmetros!$B$13+M110*Parâmetros!$B$14+N110*Parâmetros!$B$15+O110*Parâmetros!$B$16+P110*Parâmetros!$B$17)/(5*SUM(Parâmetros!$B$12:$B$17)),0))</f>
        <v/>
      </c>
      <c r="R110" s="9" t="str">
        <f aca="false">IF(Q110="","",IF(Q110&gt;=Parâmetros!$B$20,"Modelar já",IF(Q110&gt;=Parâmetros!$B$21,"Monitorar","Descartar")))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7"/>
      <c r="J111" s="6"/>
      <c r="K111" s="8" t="str">
        <f aca="false">IF(D111="","",IF(D111&gt;=Parâmetros!$C$7,5,IF(D111&gt;=Parâmetros!$C$6,4,IF(D111&gt;=Parâmetros!$C$5,3,IF(D111&gt;=Parâmetros!$C$4,2,1)))))</f>
        <v/>
      </c>
      <c r="L111" s="8" t="str">
        <f aca="false">IF(E111="","",IF(E111&gt;=Parâmetros!$D$7,5,IF(E111&gt;=Parâmetros!$D$6,4,IF(E111&gt;=Parâmetros!$D$5,3,IF(E111&gt;=Parâmetros!$D$4,2,1)))))</f>
        <v/>
      </c>
      <c r="M111" s="8" t="str">
        <f aca="false">IF(F111="","",IF(F111&gt;=Parâmetros!$E$7,5,IF(F111&gt;=Parâmetros!$E$6,4,IF(F111&gt;=Parâmetros!$E$5,3,IF(F111&gt;=Parâmetros!$E$4,2,1)))))</f>
        <v/>
      </c>
      <c r="N111" s="8" t="str">
        <f aca="false">IF(G111="","",IF(G111&gt;=Parâmetros!$F$7,5,IF(G111&gt;=Parâmetros!$F$6,4,IF(G111&gt;=Parâmetros!$F$5,3,IF(G111&gt;=Parâmetros!$F$4,2,1)))))</f>
        <v/>
      </c>
      <c r="O111" s="8" t="str">
        <f aca="false">IF(H111="","",IF(H111="Sim",IF(I111&gt;=Parâmetros!$G$4,5,4),IF(I111&gt;=Parâmetros!$G$4,3,2)))</f>
        <v/>
      </c>
      <c r="P111" s="8" t="str">
        <f aca="false">IF(J111="","",J111)</f>
        <v/>
      </c>
      <c r="Q111" s="8" t="str">
        <f aca="false">IF(COUNT(K111:P111)&lt;6,"",ROUND(100*(K111*Parâmetros!$B$12+L111*Parâmetros!$B$13+M111*Parâmetros!$B$14+N111*Parâmetros!$B$15+O111*Parâmetros!$B$16+P111*Parâmetros!$B$17)/(5*SUM(Parâmetros!$B$12:$B$17)),0))</f>
        <v/>
      </c>
      <c r="R111" s="9" t="str">
        <f aca="false">IF(Q111="","",IF(Q111&gt;=Parâmetros!$B$20,"Modelar já",IF(Q111&gt;=Parâmetros!$B$21,"Monitorar","Descartar")))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7"/>
      <c r="J112" s="6"/>
      <c r="K112" s="8" t="str">
        <f aca="false">IF(D112="","",IF(D112&gt;=Parâmetros!$C$7,5,IF(D112&gt;=Parâmetros!$C$6,4,IF(D112&gt;=Parâmetros!$C$5,3,IF(D112&gt;=Parâmetros!$C$4,2,1)))))</f>
        <v/>
      </c>
      <c r="L112" s="8" t="str">
        <f aca="false">IF(E112="","",IF(E112&gt;=Parâmetros!$D$7,5,IF(E112&gt;=Parâmetros!$D$6,4,IF(E112&gt;=Parâmetros!$D$5,3,IF(E112&gt;=Parâmetros!$D$4,2,1)))))</f>
        <v/>
      </c>
      <c r="M112" s="8" t="str">
        <f aca="false">IF(F112="","",IF(F112&gt;=Parâmetros!$E$7,5,IF(F112&gt;=Parâmetros!$E$6,4,IF(F112&gt;=Parâmetros!$E$5,3,IF(F112&gt;=Parâmetros!$E$4,2,1)))))</f>
        <v/>
      </c>
      <c r="N112" s="8" t="str">
        <f aca="false">IF(G112="","",IF(G112&gt;=Parâmetros!$F$7,5,IF(G112&gt;=Parâmetros!$F$6,4,IF(G112&gt;=Parâmetros!$F$5,3,IF(G112&gt;=Parâmetros!$F$4,2,1)))))</f>
        <v/>
      </c>
      <c r="O112" s="8" t="str">
        <f aca="false">IF(H112="","",IF(H112="Sim",IF(I112&gt;=Parâmetros!$G$4,5,4),IF(I112&gt;=Parâmetros!$G$4,3,2)))</f>
        <v/>
      </c>
      <c r="P112" s="8" t="str">
        <f aca="false">IF(J112="","",J112)</f>
        <v/>
      </c>
      <c r="Q112" s="8" t="str">
        <f aca="false">IF(COUNT(K112:P112)&lt;6,"",ROUND(100*(K112*Parâmetros!$B$12+L112*Parâmetros!$B$13+M112*Parâmetros!$B$14+N112*Parâmetros!$B$15+O112*Parâmetros!$B$16+P112*Parâmetros!$B$17)/(5*SUM(Parâmetros!$B$12:$B$17)),0))</f>
        <v/>
      </c>
      <c r="R112" s="9" t="str">
        <f aca="false">IF(Q112="","",IF(Q112&gt;=Parâmetros!$B$20,"Modelar já",IF(Q112&gt;=Parâmetros!$B$21,"Monitorar","Descartar")))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7"/>
      <c r="J113" s="6"/>
      <c r="K113" s="8" t="str">
        <f aca="false">IF(D113="","",IF(D113&gt;=Parâmetros!$C$7,5,IF(D113&gt;=Parâmetros!$C$6,4,IF(D113&gt;=Parâmetros!$C$5,3,IF(D113&gt;=Parâmetros!$C$4,2,1)))))</f>
        <v/>
      </c>
      <c r="L113" s="8" t="str">
        <f aca="false">IF(E113="","",IF(E113&gt;=Parâmetros!$D$7,5,IF(E113&gt;=Parâmetros!$D$6,4,IF(E113&gt;=Parâmetros!$D$5,3,IF(E113&gt;=Parâmetros!$D$4,2,1)))))</f>
        <v/>
      </c>
      <c r="M113" s="8" t="str">
        <f aca="false">IF(F113="","",IF(F113&gt;=Parâmetros!$E$7,5,IF(F113&gt;=Parâmetros!$E$6,4,IF(F113&gt;=Parâmetros!$E$5,3,IF(F113&gt;=Parâmetros!$E$4,2,1)))))</f>
        <v/>
      </c>
      <c r="N113" s="8" t="str">
        <f aca="false">IF(G113="","",IF(G113&gt;=Parâmetros!$F$7,5,IF(G113&gt;=Parâmetros!$F$6,4,IF(G113&gt;=Parâmetros!$F$5,3,IF(G113&gt;=Parâmetros!$F$4,2,1)))))</f>
        <v/>
      </c>
      <c r="O113" s="8" t="str">
        <f aca="false">IF(H113="","",IF(H113="Sim",IF(I113&gt;=Parâmetros!$G$4,5,4),IF(I113&gt;=Parâmetros!$G$4,3,2)))</f>
        <v/>
      </c>
      <c r="P113" s="8" t="str">
        <f aca="false">IF(J113="","",J113)</f>
        <v/>
      </c>
      <c r="Q113" s="8" t="str">
        <f aca="false">IF(COUNT(K113:P113)&lt;6,"",ROUND(100*(K113*Parâmetros!$B$12+L113*Parâmetros!$B$13+M113*Parâmetros!$B$14+N113*Parâmetros!$B$15+O113*Parâmetros!$B$16+P113*Parâmetros!$B$17)/(5*SUM(Parâmetros!$B$12:$B$17)),0))</f>
        <v/>
      </c>
      <c r="R113" s="9" t="str">
        <f aca="false">IF(Q113="","",IF(Q113&gt;=Parâmetros!$B$20,"Modelar já",IF(Q113&gt;=Parâmetros!$B$21,"Monitorar","Descartar")))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7"/>
      <c r="J114" s="6"/>
      <c r="K114" s="8" t="str">
        <f aca="false">IF(D114="","",IF(D114&gt;=Parâmetros!$C$7,5,IF(D114&gt;=Parâmetros!$C$6,4,IF(D114&gt;=Parâmetros!$C$5,3,IF(D114&gt;=Parâmetros!$C$4,2,1)))))</f>
        <v/>
      </c>
      <c r="L114" s="8" t="str">
        <f aca="false">IF(E114="","",IF(E114&gt;=Parâmetros!$D$7,5,IF(E114&gt;=Parâmetros!$D$6,4,IF(E114&gt;=Parâmetros!$D$5,3,IF(E114&gt;=Parâmetros!$D$4,2,1)))))</f>
        <v/>
      </c>
      <c r="M114" s="8" t="str">
        <f aca="false">IF(F114="","",IF(F114&gt;=Parâmetros!$E$7,5,IF(F114&gt;=Parâmetros!$E$6,4,IF(F114&gt;=Parâmetros!$E$5,3,IF(F114&gt;=Parâmetros!$E$4,2,1)))))</f>
        <v/>
      </c>
      <c r="N114" s="8" t="str">
        <f aca="false">IF(G114="","",IF(G114&gt;=Parâmetros!$F$7,5,IF(G114&gt;=Parâmetros!$F$6,4,IF(G114&gt;=Parâmetros!$F$5,3,IF(G114&gt;=Parâmetros!$F$4,2,1)))))</f>
        <v/>
      </c>
      <c r="O114" s="8" t="str">
        <f aca="false">IF(H114="","",IF(H114="Sim",IF(I114&gt;=Parâmetros!$G$4,5,4),IF(I114&gt;=Parâmetros!$G$4,3,2)))</f>
        <v/>
      </c>
      <c r="P114" s="8" t="str">
        <f aca="false">IF(J114="","",J114)</f>
        <v/>
      </c>
      <c r="Q114" s="8" t="str">
        <f aca="false">IF(COUNT(K114:P114)&lt;6,"",ROUND(100*(K114*Parâmetros!$B$12+L114*Parâmetros!$B$13+M114*Parâmetros!$B$14+N114*Parâmetros!$B$15+O114*Parâmetros!$B$16+P114*Parâmetros!$B$17)/(5*SUM(Parâmetros!$B$12:$B$17)),0))</f>
        <v/>
      </c>
      <c r="R114" s="9" t="str">
        <f aca="false">IF(Q114="","",IF(Q114&gt;=Parâmetros!$B$20,"Modelar já",IF(Q114&gt;=Parâmetros!$B$21,"Monitorar","Descartar")))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7"/>
      <c r="J115" s="6"/>
      <c r="K115" s="8" t="str">
        <f aca="false">IF(D115="","",IF(D115&gt;=Parâmetros!$C$7,5,IF(D115&gt;=Parâmetros!$C$6,4,IF(D115&gt;=Parâmetros!$C$5,3,IF(D115&gt;=Parâmetros!$C$4,2,1)))))</f>
        <v/>
      </c>
      <c r="L115" s="8" t="str">
        <f aca="false">IF(E115="","",IF(E115&gt;=Parâmetros!$D$7,5,IF(E115&gt;=Parâmetros!$D$6,4,IF(E115&gt;=Parâmetros!$D$5,3,IF(E115&gt;=Parâmetros!$D$4,2,1)))))</f>
        <v/>
      </c>
      <c r="M115" s="8" t="str">
        <f aca="false">IF(F115="","",IF(F115&gt;=Parâmetros!$E$7,5,IF(F115&gt;=Parâmetros!$E$6,4,IF(F115&gt;=Parâmetros!$E$5,3,IF(F115&gt;=Parâmetros!$E$4,2,1)))))</f>
        <v/>
      </c>
      <c r="N115" s="8" t="str">
        <f aca="false">IF(G115="","",IF(G115&gt;=Parâmetros!$F$7,5,IF(G115&gt;=Parâmetros!$F$6,4,IF(G115&gt;=Parâmetros!$F$5,3,IF(G115&gt;=Parâmetros!$F$4,2,1)))))</f>
        <v/>
      </c>
      <c r="O115" s="8" t="str">
        <f aca="false">IF(H115="","",IF(H115="Sim",IF(I115&gt;=Parâmetros!$G$4,5,4),IF(I115&gt;=Parâmetros!$G$4,3,2)))</f>
        <v/>
      </c>
      <c r="P115" s="8" t="str">
        <f aca="false">IF(J115="","",J115)</f>
        <v/>
      </c>
      <c r="Q115" s="8" t="str">
        <f aca="false">IF(COUNT(K115:P115)&lt;6,"",ROUND(100*(K115*Parâmetros!$B$12+L115*Parâmetros!$B$13+M115*Parâmetros!$B$14+N115*Parâmetros!$B$15+O115*Parâmetros!$B$16+P115*Parâmetros!$B$17)/(5*SUM(Parâmetros!$B$12:$B$17)),0))</f>
        <v/>
      </c>
      <c r="R115" s="9" t="str">
        <f aca="false">IF(Q115="","",IF(Q115&gt;=Parâmetros!$B$20,"Modelar já",IF(Q115&gt;=Parâmetros!$B$21,"Monitorar","Descartar")))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7"/>
      <c r="J116" s="6"/>
      <c r="K116" s="8" t="str">
        <f aca="false">IF(D116="","",IF(D116&gt;=Parâmetros!$C$7,5,IF(D116&gt;=Parâmetros!$C$6,4,IF(D116&gt;=Parâmetros!$C$5,3,IF(D116&gt;=Parâmetros!$C$4,2,1)))))</f>
        <v/>
      </c>
      <c r="L116" s="8" t="str">
        <f aca="false">IF(E116="","",IF(E116&gt;=Parâmetros!$D$7,5,IF(E116&gt;=Parâmetros!$D$6,4,IF(E116&gt;=Parâmetros!$D$5,3,IF(E116&gt;=Parâmetros!$D$4,2,1)))))</f>
        <v/>
      </c>
      <c r="M116" s="8" t="str">
        <f aca="false">IF(F116="","",IF(F116&gt;=Parâmetros!$E$7,5,IF(F116&gt;=Parâmetros!$E$6,4,IF(F116&gt;=Parâmetros!$E$5,3,IF(F116&gt;=Parâmetros!$E$4,2,1)))))</f>
        <v/>
      </c>
      <c r="N116" s="8" t="str">
        <f aca="false">IF(G116="","",IF(G116&gt;=Parâmetros!$F$7,5,IF(G116&gt;=Parâmetros!$F$6,4,IF(G116&gt;=Parâmetros!$F$5,3,IF(G116&gt;=Parâmetros!$F$4,2,1)))))</f>
        <v/>
      </c>
      <c r="O116" s="8" t="str">
        <f aca="false">IF(H116="","",IF(H116="Sim",IF(I116&gt;=Parâmetros!$G$4,5,4),IF(I116&gt;=Parâmetros!$G$4,3,2)))</f>
        <v/>
      </c>
      <c r="P116" s="8" t="str">
        <f aca="false">IF(J116="","",J116)</f>
        <v/>
      </c>
      <c r="Q116" s="8" t="str">
        <f aca="false">IF(COUNT(K116:P116)&lt;6,"",ROUND(100*(K116*Parâmetros!$B$12+L116*Parâmetros!$B$13+M116*Parâmetros!$B$14+N116*Parâmetros!$B$15+O116*Parâmetros!$B$16+P116*Parâmetros!$B$17)/(5*SUM(Parâmetros!$B$12:$B$17)),0))</f>
        <v/>
      </c>
      <c r="R116" s="9" t="str">
        <f aca="false">IF(Q116="","",IF(Q116&gt;=Parâmetros!$B$20,"Modelar já",IF(Q116&gt;=Parâmetros!$B$21,"Monitorar","Descartar")))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7"/>
      <c r="J117" s="6"/>
      <c r="K117" s="8" t="str">
        <f aca="false">IF(D117="","",IF(D117&gt;=Parâmetros!$C$7,5,IF(D117&gt;=Parâmetros!$C$6,4,IF(D117&gt;=Parâmetros!$C$5,3,IF(D117&gt;=Parâmetros!$C$4,2,1)))))</f>
        <v/>
      </c>
      <c r="L117" s="8" t="str">
        <f aca="false">IF(E117="","",IF(E117&gt;=Parâmetros!$D$7,5,IF(E117&gt;=Parâmetros!$D$6,4,IF(E117&gt;=Parâmetros!$D$5,3,IF(E117&gt;=Parâmetros!$D$4,2,1)))))</f>
        <v/>
      </c>
      <c r="M117" s="8" t="str">
        <f aca="false">IF(F117="","",IF(F117&gt;=Parâmetros!$E$7,5,IF(F117&gt;=Parâmetros!$E$6,4,IF(F117&gt;=Parâmetros!$E$5,3,IF(F117&gt;=Parâmetros!$E$4,2,1)))))</f>
        <v/>
      </c>
      <c r="N117" s="8" t="str">
        <f aca="false">IF(G117="","",IF(G117&gt;=Parâmetros!$F$7,5,IF(G117&gt;=Parâmetros!$F$6,4,IF(G117&gt;=Parâmetros!$F$5,3,IF(G117&gt;=Parâmetros!$F$4,2,1)))))</f>
        <v/>
      </c>
      <c r="O117" s="8" t="str">
        <f aca="false">IF(H117="","",IF(H117="Sim",IF(I117&gt;=Parâmetros!$G$4,5,4),IF(I117&gt;=Parâmetros!$G$4,3,2)))</f>
        <v/>
      </c>
      <c r="P117" s="8" t="str">
        <f aca="false">IF(J117="","",J117)</f>
        <v/>
      </c>
      <c r="Q117" s="8" t="str">
        <f aca="false">IF(COUNT(K117:P117)&lt;6,"",ROUND(100*(K117*Parâmetros!$B$12+L117*Parâmetros!$B$13+M117*Parâmetros!$B$14+N117*Parâmetros!$B$15+O117*Parâmetros!$B$16+P117*Parâmetros!$B$17)/(5*SUM(Parâmetros!$B$12:$B$17)),0))</f>
        <v/>
      </c>
      <c r="R117" s="9" t="str">
        <f aca="false">IF(Q117="","",IF(Q117&gt;=Parâmetros!$B$20,"Modelar já",IF(Q117&gt;=Parâmetros!$B$21,"Monitorar","Descartar")))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7"/>
      <c r="J118" s="6"/>
      <c r="K118" s="8" t="str">
        <f aca="false">IF(D118="","",IF(D118&gt;=Parâmetros!$C$7,5,IF(D118&gt;=Parâmetros!$C$6,4,IF(D118&gt;=Parâmetros!$C$5,3,IF(D118&gt;=Parâmetros!$C$4,2,1)))))</f>
        <v/>
      </c>
      <c r="L118" s="8" t="str">
        <f aca="false">IF(E118="","",IF(E118&gt;=Parâmetros!$D$7,5,IF(E118&gt;=Parâmetros!$D$6,4,IF(E118&gt;=Parâmetros!$D$5,3,IF(E118&gt;=Parâmetros!$D$4,2,1)))))</f>
        <v/>
      </c>
      <c r="M118" s="8" t="str">
        <f aca="false">IF(F118="","",IF(F118&gt;=Parâmetros!$E$7,5,IF(F118&gt;=Parâmetros!$E$6,4,IF(F118&gt;=Parâmetros!$E$5,3,IF(F118&gt;=Parâmetros!$E$4,2,1)))))</f>
        <v/>
      </c>
      <c r="N118" s="8" t="str">
        <f aca="false">IF(G118="","",IF(G118&gt;=Parâmetros!$F$7,5,IF(G118&gt;=Parâmetros!$F$6,4,IF(G118&gt;=Parâmetros!$F$5,3,IF(G118&gt;=Parâmetros!$F$4,2,1)))))</f>
        <v/>
      </c>
      <c r="O118" s="8" t="str">
        <f aca="false">IF(H118="","",IF(H118="Sim",IF(I118&gt;=Parâmetros!$G$4,5,4),IF(I118&gt;=Parâmetros!$G$4,3,2)))</f>
        <v/>
      </c>
      <c r="P118" s="8" t="str">
        <f aca="false">IF(J118="","",J118)</f>
        <v/>
      </c>
      <c r="Q118" s="8" t="str">
        <f aca="false">IF(COUNT(K118:P118)&lt;6,"",ROUND(100*(K118*Parâmetros!$B$12+L118*Parâmetros!$B$13+M118*Parâmetros!$B$14+N118*Parâmetros!$B$15+O118*Parâmetros!$B$16+P118*Parâmetros!$B$17)/(5*SUM(Parâmetros!$B$12:$B$17)),0))</f>
        <v/>
      </c>
      <c r="R118" s="9" t="str">
        <f aca="false">IF(Q118="","",IF(Q118&gt;=Parâmetros!$B$20,"Modelar já",IF(Q118&gt;=Parâmetros!$B$21,"Monitorar","Descartar")))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7"/>
      <c r="J119" s="6"/>
      <c r="K119" s="8" t="str">
        <f aca="false">IF(D119="","",IF(D119&gt;=Parâmetros!$C$7,5,IF(D119&gt;=Parâmetros!$C$6,4,IF(D119&gt;=Parâmetros!$C$5,3,IF(D119&gt;=Parâmetros!$C$4,2,1)))))</f>
        <v/>
      </c>
      <c r="L119" s="8" t="str">
        <f aca="false">IF(E119="","",IF(E119&gt;=Parâmetros!$D$7,5,IF(E119&gt;=Parâmetros!$D$6,4,IF(E119&gt;=Parâmetros!$D$5,3,IF(E119&gt;=Parâmetros!$D$4,2,1)))))</f>
        <v/>
      </c>
      <c r="M119" s="8" t="str">
        <f aca="false">IF(F119="","",IF(F119&gt;=Parâmetros!$E$7,5,IF(F119&gt;=Parâmetros!$E$6,4,IF(F119&gt;=Parâmetros!$E$5,3,IF(F119&gt;=Parâmetros!$E$4,2,1)))))</f>
        <v/>
      </c>
      <c r="N119" s="8" t="str">
        <f aca="false">IF(G119="","",IF(G119&gt;=Parâmetros!$F$7,5,IF(G119&gt;=Parâmetros!$F$6,4,IF(G119&gt;=Parâmetros!$F$5,3,IF(G119&gt;=Parâmetros!$F$4,2,1)))))</f>
        <v/>
      </c>
      <c r="O119" s="8" t="str">
        <f aca="false">IF(H119="","",IF(H119="Sim",IF(I119&gt;=Parâmetros!$G$4,5,4),IF(I119&gt;=Parâmetros!$G$4,3,2)))</f>
        <v/>
      </c>
      <c r="P119" s="8" t="str">
        <f aca="false">IF(J119="","",J119)</f>
        <v/>
      </c>
      <c r="Q119" s="8" t="str">
        <f aca="false">IF(COUNT(K119:P119)&lt;6,"",ROUND(100*(K119*Parâmetros!$B$12+L119*Parâmetros!$B$13+M119*Parâmetros!$B$14+N119*Parâmetros!$B$15+O119*Parâmetros!$B$16+P119*Parâmetros!$B$17)/(5*SUM(Parâmetros!$B$12:$B$17)),0))</f>
        <v/>
      </c>
      <c r="R119" s="9" t="str">
        <f aca="false">IF(Q119="","",IF(Q119&gt;=Parâmetros!$B$20,"Modelar já",IF(Q119&gt;=Parâmetros!$B$21,"Monitorar","Descartar")))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7"/>
      <c r="J120" s="6"/>
      <c r="K120" s="8" t="str">
        <f aca="false">IF(D120="","",IF(D120&gt;=Parâmetros!$C$7,5,IF(D120&gt;=Parâmetros!$C$6,4,IF(D120&gt;=Parâmetros!$C$5,3,IF(D120&gt;=Parâmetros!$C$4,2,1)))))</f>
        <v/>
      </c>
      <c r="L120" s="8" t="str">
        <f aca="false">IF(E120="","",IF(E120&gt;=Parâmetros!$D$7,5,IF(E120&gt;=Parâmetros!$D$6,4,IF(E120&gt;=Parâmetros!$D$5,3,IF(E120&gt;=Parâmetros!$D$4,2,1)))))</f>
        <v/>
      </c>
      <c r="M120" s="8" t="str">
        <f aca="false">IF(F120="","",IF(F120&gt;=Parâmetros!$E$7,5,IF(F120&gt;=Parâmetros!$E$6,4,IF(F120&gt;=Parâmetros!$E$5,3,IF(F120&gt;=Parâmetros!$E$4,2,1)))))</f>
        <v/>
      </c>
      <c r="N120" s="8" t="str">
        <f aca="false">IF(G120="","",IF(G120&gt;=Parâmetros!$F$7,5,IF(G120&gt;=Parâmetros!$F$6,4,IF(G120&gt;=Parâmetros!$F$5,3,IF(G120&gt;=Parâmetros!$F$4,2,1)))))</f>
        <v/>
      </c>
      <c r="O120" s="8" t="str">
        <f aca="false">IF(H120="","",IF(H120="Sim",IF(I120&gt;=Parâmetros!$G$4,5,4),IF(I120&gt;=Parâmetros!$G$4,3,2)))</f>
        <v/>
      </c>
      <c r="P120" s="8" t="str">
        <f aca="false">IF(J120="","",J120)</f>
        <v/>
      </c>
      <c r="Q120" s="8" t="str">
        <f aca="false">IF(COUNT(K120:P120)&lt;6,"",ROUND(100*(K120*Parâmetros!$B$12+L120*Parâmetros!$B$13+M120*Parâmetros!$B$14+N120*Parâmetros!$B$15+O120*Parâmetros!$B$16+P120*Parâmetros!$B$17)/(5*SUM(Parâmetros!$B$12:$B$17)),0))</f>
        <v/>
      </c>
      <c r="R120" s="9" t="str">
        <f aca="false">IF(Q120="","",IF(Q120&gt;=Parâmetros!$B$20,"Modelar já",IF(Q120&gt;=Parâmetros!$B$21,"Monitorar","Descartar")))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7"/>
      <c r="J121" s="6"/>
      <c r="K121" s="8" t="str">
        <f aca="false">IF(D121="","",IF(D121&gt;=Parâmetros!$C$7,5,IF(D121&gt;=Parâmetros!$C$6,4,IF(D121&gt;=Parâmetros!$C$5,3,IF(D121&gt;=Parâmetros!$C$4,2,1)))))</f>
        <v/>
      </c>
      <c r="L121" s="8" t="str">
        <f aca="false">IF(E121="","",IF(E121&gt;=Parâmetros!$D$7,5,IF(E121&gt;=Parâmetros!$D$6,4,IF(E121&gt;=Parâmetros!$D$5,3,IF(E121&gt;=Parâmetros!$D$4,2,1)))))</f>
        <v/>
      </c>
      <c r="M121" s="8" t="str">
        <f aca="false">IF(F121="","",IF(F121&gt;=Parâmetros!$E$7,5,IF(F121&gt;=Parâmetros!$E$6,4,IF(F121&gt;=Parâmetros!$E$5,3,IF(F121&gt;=Parâmetros!$E$4,2,1)))))</f>
        <v/>
      </c>
      <c r="N121" s="8" t="str">
        <f aca="false">IF(G121="","",IF(G121&gt;=Parâmetros!$F$7,5,IF(G121&gt;=Parâmetros!$F$6,4,IF(G121&gt;=Parâmetros!$F$5,3,IF(G121&gt;=Parâmetros!$F$4,2,1)))))</f>
        <v/>
      </c>
      <c r="O121" s="8" t="str">
        <f aca="false">IF(H121="","",IF(H121="Sim",IF(I121&gt;=Parâmetros!$G$4,5,4),IF(I121&gt;=Parâmetros!$G$4,3,2)))</f>
        <v/>
      </c>
      <c r="P121" s="8" t="str">
        <f aca="false">IF(J121="","",J121)</f>
        <v/>
      </c>
      <c r="Q121" s="8" t="str">
        <f aca="false">IF(COUNT(K121:P121)&lt;6,"",ROUND(100*(K121*Parâmetros!$B$12+L121*Parâmetros!$B$13+M121*Parâmetros!$B$14+N121*Parâmetros!$B$15+O121*Parâmetros!$B$16+P121*Parâmetros!$B$17)/(5*SUM(Parâmetros!$B$12:$B$17)),0))</f>
        <v/>
      </c>
      <c r="R121" s="9" t="str">
        <f aca="false">IF(Q121="","",IF(Q121&gt;=Parâmetros!$B$20,"Modelar já",IF(Q121&gt;=Parâmetros!$B$21,"Monitorar","Descartar")))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7"/>
      <c r="J122" s="6"/>
      <c r="K122" s="8" t="str">
        <f aca="false">IF(D122="","",IF(D122&gt;=Parâmetros!$C$7,5,IF(D122&gt;=Parâmetros!$C$6,4,IF(D122&gt;=Parâmetros!$C$5,3,IF(D122&gt;=Parâmetros!$C$4,2,1)))))</f>
        <v/>
      </c>
      <c r="L122" s="8" t="str">
        <f aca="false">IF(E122="","",IF(E122&gt;=Parâmetros!$D$7,5,IF(E122&gt;=Parâmetros!$D$6,4,IF(E122&gt;=Parâmetros!$D$5,3,IF(E122&gt;=Parâmetros!$D$4,2,1)))))</f>
        <v/>
      </c>
      <c r="M122" s="8" t="str">
        <f aca="false">IF(F122="","",IF(F122&gt;=Parâmetros!$E$7,5,IF(F122&gt;=Parâmetros!$E$6,4,IF(F122&gt;=Parâmetros!$E$5,3,IF(F122&gt;=Parâmetros!$E$4,2,1)))))</f>
        <v/>
      </c>
      <c r="N122" s="8" t="str">
        <f aca="false">IF(G122="","",IF(G122&gt;=Parâmetros!$F$7,5,IF(G122&gt;=Parâmetros!$F$6,4,IF(G122&gt;=Parâmetros!$F$5,3,IF(G122&gt;=Parâmetros!$F$4,2,1)))))</f>
        <v/>
      </c>
      <c r="O122" s="8" t="str">
        <f aca="false">IF(H122="","",IF(H122="Sim",IF(I122&gt;=Parâmetros!$G$4,5,4),IF(I122&gt;=Parâmetros!$G$4,3,2)))</f>
        <v/>
      </c>
      <c r="P122" s="8" t="str">
        <f aca="false">IF(J122="","",J122)</f>
        <v/>
      </c>
      <c r="Q122" s="8" t="str">
        <f aca="false">IF(COUNT(K122:P122)&lt;6,"",ROUND(100*(K122*Parâmetros!$B$12+L122*Parâmetros!$B$13+M122*Parâmetros!$B$14+N122*Parâmetros!$B$15+O122*Parâmetros!$B$16+P122*Parâmetros!$B$17)/(5*SUM(Parâmetros!$B$12:$B$17)),0))</f>
        <v/>
      </c>
      <c r="R122" s="9" t="str">
        <f aca="false">IF(Q122="","",IF(Q122&gt;=Parâmetros!$B$20,"Modelar já",IF(Q122&gt;=Parâmetros!$B$21,"Monitorar","Descartar")))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7"/>
      <c r="J123" s="6"/>
      <c r="K123" s="8" t="str">
        <f aca="false">IF(D123="","",IF(D123&gt;=Parâmetros!$C$7,5,IF(D123&gt;=Parâmetros!$C$6,4,IF(D123&gt;=Parâmetros!$C$5,3,IF(D123&gt;=Parâmetros!$C$4,2,1)))))</f>
        <v/>
      </c>
      <c r="L123" s="8" t="str">
        <f aca="false">IF(E123="","",IF(E123&gt;=Parâmetros!$D$7,5,IF(E123&gt;=Parâmetros!$D$6,4,IF(E123&gt;=Parâmetros!$D$5,3,IF(E123&gt;=Parâmetros!$D$4,2,1)))))</f>
        <v/>
      </c>
      <c r="M123" s="8" t="str">
        <f aca="false">IF(F123="","",IF(F123&gt;=Parâmetros!$E$7,5,IF(F123&gt;=Parâmetros!$E$6,4,IF(F123&gt;=Parâmetros!$E$5,3,IF(F123&gt;=Parâmetros!$E$4,2,1)))))</f>
        <v/>
      </c>
      <c r="N123" s="8" t="str">
        <f aca="false">IF(G123="","",IF(G123&gt;=Parâmetros!$F$7,5,IF(G123&gt;=Parâmetros!$F$6,4,IF(G123&gt;=Parâmetros!$F$5,3,IF(G123&gt;=Parâmetros!$F$4,2,1)))))</f>
        <v/>
      </c>
      <c r="O123" s="8" t="str">
        <f aca="false">IF(H123="","",IF(H123="Sim",IF(I123&gt;=Parâmetros!$G$4,5,4),IF(I123&gt;=Parâmetros!$G$4,3,2)))</f>
        <v/>
      </c>
      <c r="P123" s="8" t="str">
        <f aca="false">IF(J123="","",J123)</f>
        <v/>
      </c>
      <c r="Q123" s="8" t="str">
        <f aca="false">IF(COUNT(K123:P123)&lt;6,"",ROUND(100*(K123*Parâmetros!$B$12+L123*Parâmetros!$B$13+M123*Parâmetros!$B$14+N123*Parâmetros!$B$15+O123*Parâmetros!$B$16+P123*Parâmetros!$B$17)/(5*SUM(Parâmetros!$B$12:$B$17)),0))</f>
        <v/>
      </c>
      <c r="R123" s="9" t="str">
        <f aca="false">IF(Q123="","",IF(Q123&gt;=Parâmetros!$B$20,"Modelar já",IF(Q123&gt;=Parâmetros!$B$21,"Monitorar","Descartar")))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7"/>
      <c r="J124" s="6"/>
      <c r="K124" s="8" t="str">
        <f aca="false">IF(D124="","",IF(D124&gt;=Parâmetros!$C$7,5,IF(D124&gt;=Parâmetros!$C$6,4,IF(D124&gt;=Parâmetros!$C$5,3,IF(D124&gt;=Parâmetros!$C$4,2,1)))))</f>
        <v/>
      </c>
      <c r="L124" s="8" t="str">
        <f aca="false">IF(E124="","",IF(E124&gt;=Parâmetros!$D$7,5,IF(E124&gt;=Parâmetros!$D$6,4,IF(E124&gt;=Parâmetros!$D$5,3,IF(E124&gt;=Parâmetros!$D$4,2,1)))))</f>
        <v/>
      </c>
      <c r="M124" s="8" t="str">
        <f aca="false">IF(F124="","",IF(F124&gt;=Parâmetros!$E$7,5,IF(F124&gt;=Parâmetros!$E$6,4,IF(F124&gt;=Parâmetros!$E$5,3,IF(F124&gt;=Parâmetros!$E$4,2,1)))))</f>
        <v/>
      </c>
      <c r="N124" s="8" t="str">
        <f aca="false">IF(G124="","",IF(G124&gt;=Parâmetros!$F$7,5,IF(G124&gt;=Parâmetros!$F$6,4,IF(G124&gt;=Parâmetros!$F$5,3,IF(G124&gt;=Parâmetros!$F$4,2,1)))))</f>
        <v/>
      </c>
      <c r="O124" s="8" t="str">
        <f aca="false">IF(H124="","",IF(H124="Sim",IF(I124&gt;=Parâmetros!$G$4,5,4),IF(I124&gt;=Parâmetros!$G$4,3,2)))</f>
        <v/>
      </c>
      <c r="P124" s="8" t="str">
        <f aca="false">IF(J124="","",J124)</f>
        <v/>
      </c>
      <c r="Q124" s="8" t="str">
        <f aca="false">IF(COUNT(K124:P124)&lt;6,"",ROUND(100*(K124*Parâmetros!$B$12+L124*Parâmetros!$B$13+M124*Parâmetros!$B$14+N124*Parâmetros!$B$15+O124*Parâmetros!$B$16+P124*Parâmetros!$B$17)/(5*SUM(Parâmetros!$B$12:$B$17)),0))</f>
        <v/>
      </c>
      <c r="R124" s="9" t="str">
        <f aca="false">IF(Q124="","",IF(Q124&gt;=Parâmetros!$B$20,"Modelar já",IF(Q124&gt;=Parâmetros!$B$21,"Monitorar","Descartar")))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7"/>
      <c r="J125" s="6"/>
      <c r="K125" s="8" t="str">
        <f aca="false">IF(D125="","",IF(D125&gt;=Parâmetros!$C$7,5,IF(D125&gt;=Parâmetros!$C$6,4,IF(D125&gt;=Parâmetros!$C$5,3,IF(D125&gt;=Parâmetros!$C$4,2,1)))))</f>
        <v/>
      </c>
      <c r="L125" s="8" t="str">
        <f aca="false">IF(E125="","",IF(E125&gt;=Parâmetros!$D$7,5,IF(E125&gt;=Parâmetros!$D$6,4,IF(E125&gt;=Parâmetros!$D$5,3,IF(E125&gt;=Parâmetros!$D$4,2,1)))))</f>
        <v/>
      </c>
      <c r="M125" s="8" t="str">
        <f aca="false">IF(F125="","",IF(F125&gt;=Parâmetros!$E$7,5,IF(F125&gt;=Parâmetros!$E$6,4,IF(F125&gt;=Parâmetros!$E$5,3,IF(F125&gt;=Parâmetros!$E$4,2,1)))))</f>
        <v/>
      </c>
      <c r="N125" s="8" t="str">
        <f aca="false">IF(G125="","",IF(G125&gt;=Parâmetros!$F$7,5,IF(G125&gt;=Parâmetros!$F$6,4,IF(G125&gt;=Parâmetros!$F$5,3,IF(G125&gt;=Parâmetros!$F$4,2,1)))))</f>
        <v/>
      </c>
      <c r="O125" s="8" t="str">
        <f aca="false">IF(H125="","",IF(H125="Sim",IF(I125&gt;=Parâmetros!$G$4,5,4),IF(I125&gt;=Parâmetros!$G$4,3,2)))</f>
        <v/>
      </c>
      <c r="P125" s="8" t="str">
        <f aca="false">IF(J125="","",J125)</f>
        <v/>
      </c>
      <c r="Q125" s="8" t="str">
        <f aca="false">IF(COUNT(K125:P125)&lt;6,"",ROUND(100*(K125*Parâmetros!$B$12+L125*Parâmetros!$B$13+M125*Parâmetros!$B$14+N125*Parâmetros!$B$15+O125*Parâmetros!$B$16+P125*Parâmetros!$B$17)/(5*SUM(Parâmetros!$B$12:$B$17)),0))</f>
        <v/>
      </c>
      <c r="R125" s="9" t="str">
        <f aca="false">IF(Q125="","",IF(Q125&gt;=Parâmetros!$B$20,"Modelar já",IF(Q125&gt;=Parâmetros!$B$21,"Monitorar","Descartar")))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7"/>
      <c r="J126" s="6"/>
      <c r="K126" s="8" t="str">
        <f aca="false">IF(D126="","",IF(D126&gt;=Parâmetros!$C$7,5,IF(D126&gt;=Parâmetros!$C$6,4,IF(D126&gt;=Parâmetros!$C$5,3,IF(D126&gt;=Parâmetros!$C$4,2,1)))))</f>
        <v/>
      </c>
      <c r="L126" s="8" t="str">
        <f aca="false">IF(E126="","",IF(E126&gt;=Parâmetros!$D$7,5,IF(E126&gt;=Parâmetros!$D$6,4,IF(E126&gt;=Parâmetros!$D$5,3,IF(E126&gt;=Parâmetros!$D$4,2,1)))))</f>
        <v/>
      </c>
      <c r="M126" s="8" t="str">
        <f aca="false">IF(F126="","",IF(F126&gt;=Parâmetros!$E$7,5,IF(F126&gt;=Parâmetros!$E$6,4,IF(F126&gt;=Parâmetros!$E$5,3,IF(F126&gt;=Parâmetros!$E$4,2,1)))))</f>
        <v/>
      </c>
      <c r="N126" s="8" t="str">
        <f aca="false">IF(G126="","",IF(G126&gt;=Parâmetros!$F$7,5,IF(G126&gt;=Parâmetros!$F$6,4,IF(G126&gt;=Parâmetros!$F$5,3,IF(G126&gt;=Parâmetros!$F$4,2,1)))))</f>
        <v/>
      </c>
      <c r="O126" s="8" t="str">
        <f aca="false">IF(H126="","",IF(H126="Sim",IF(I126&gt;=Parâmetros!$G$4,5,4),IF(I126&gt;=Parâmetros!$G$4,3,2)))</f>
        <v/>
      </c>
      <c r="P126" s="8" t="str">
        <f aca="false">IF(J126="","",J126)</f>
        <v/>
      </c>
      <c r="Q126" s="8" t="str">
        <f aca="false">IF(COUNT(K126:P126)&lt;6,"",ROUND(100*(K126*Parâmetros!$B$12+L126*Parâmetros!$B$13+M126*Parâmetros!$B$14+N126*Parâmetros!$B$15+O126*Parâmetros!$B$16+P126*Parâmetros!$B$17)/(5*SUM(Parâmetros!$B$12:$B$17)),0))</f>
        <v/>
      </c>
      <c r="R126" s="9" t="str">
        <f aca="false">IF(Q126="","",IF(Q126&gt;=Parâmetros!$B$20,"Modelar já",IF(Q126&gt;=Parâmetros!$B$21,"Monitorar","Descartar")))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7"/>
      <c r="J127" s="6"/>
      <c r="K127" s="8" t="str">
        <f aca="false">IF(D127="","",IF(D127&gt;=Parâmetros!$C$7,5,IF(D127&gt;=Parâmetros!$C$6,4,IF(D127&gt;=Parâmetros!$C$5,3,IF(D127&gt;=Parâmetros!$C$4,2,1)))))</f>
        <v/>
      </c>
      <c r="L127" s="8" t="str">
        <f aca="false">IF(E127="","",IF(E127&gt;=Parâmetros!$D$7,5,IF(E127&gt;=Parâmetros!$D$6,4,IF(E127&gt;=Parâmetros!$D$5,3,IF(E127&gt;=Parâmetros!$D$4,2,1)))))</f>
        <v/>
      </c>
      <c r="M127" s="8" t="str">
        <f aca="false">IF(F127="","",IF(F127&gt;=Parâmetros!$E$7,5,IF(F127&gt;=Parâmetros!$E$6,4,IF(F127&gt;=Parâmetros!$E$5,3,IF(F127&gt;=Parâmetros!$E$4,2,1)))))</f>
        <v/>
      </c>
      <c r="N127" s="8" t="str">
        <f aca="false">IF(G127="","",IF(G127&gt;=Parâmetros!$F$7,5,IF(G127&gt;=Parâmetros!$F$6,4,IF(G127&gt;=Parâmetros!$F$5,3,IF(G127&gt;=Parâmetros!$F$4,2,1)))))</f>
        <v/>
      </c>
      <c r="O127" s="8" t="str">
        <f aca="false">IF(H127="","",IF(H127="Sim",IF(I127&gt;=Parâmetros!$G$4,5,4),IF(I127&gt;=Parâmetros!$G$4,3,2)))</f>
        <v/>
      </c>
      <c r="P127" s="8" t="str">
        <f aca="false">IF(J127="","",J127)</f>
        <v/>
      </c>
      <c r="Q127" s="8" t="str">
        <f aca="false">IF(COUNT(K127:P127)&lt;6,"",ROUND(100*(K127*Parâmetros!$B$12+L127*Parâmetros!$B$13+M127*Parâmetros!$B$14+N127*Parâmetros!$B$15+O127*Parâmetros!$B$16+P127*Parâmetros!$B$17)/(5*SUM(Parâmetros!$B$12:$B$17)),0))</f>
        <v/>
      </c>
      <c r="R127" s="9" t="str">
        <f aca="false">IF(Q127="","",IF(Q127&gt;=Parâmetros!$B$20,"Modelar já",IF(Q127&gt;=Parâmetros!$B$21,"Monitorar","Descartar")))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7"/>
      <c r="J128" s="6"/>
      <c r="K128" s="8" t="str">
        <f aca="false">IF(D128="","",IF(D128&gt;=Parâmetros!$C$7,5,IF(D128&gt;=Parâmetros!$C$6,4,IF(D128&gt;=Parâmetros!$C$5,3,IF(D128&gt;=Parâmetros!$C$4,2,1)))))</f>
        <v/>
      </c>
      <c r="L128" s="8" t="str">
        <f aca="false">IF(E128="","",IF(E128&gt;=Parâmetros!$D$7,5,IF(E128&gt;=Parâmetros!$D$6,4,IF(E128&gt;=Parâmetros!$D$5,3,IF(E128&gt;=Parâmetros!$D$4,2,1)))))</f>
        <v/>
      </c>
      <c r="M128" s="8" t="str">
        <f aca="false">IF(F128="","",IF(F128&gt;=Parâmetros!$E$7,5,IF(F128&gt;=Parâmetros!$E$6,4,IF(F128&gt;=Parâmetros!$E$5,3,IF(F128&gt;=Parâmetros!$E$4,2,1)))))</f>
        <v/>
      </c>
      <c r="N128" s="8" t="str">
        <f aca="false">IF(G128="","",IF(G128&gt;=Parâmetros!$F$7,5,IF(G128&gt;=Parâmetros!$F$6,4,IF(G128&gt;=Parâmetros!$F$5,3,IF(G128&gt;=Parâmetros!$F$4,2,1)))))</f>
        <v/>
      </c>
      <c r="O128" s="8" t="str">
        <f aca="false">IF(H128="","",IF(H128="Sim",IF(I128&gt;=Parâmetros!$G$4,5,4),IF(I128&gt;=Parâmetros!$G$4,3,2)))</f>
        <v/>
      </c>
      <c r="P128" s="8" t="str">
        <f aca="false">IF(J128="","",J128)</f>
        <v/>
      </c>
      <c r="Q128" s="8" t="str">
        <f aca="false">IF(COUNT(K128:P128)&lt;6,"",ROUND(100*(K128*Parâmetros!$B$12+L128*Parâmetros!$B$13+M128*Parâmetros!$B$14+N128*Parâmetros!$B$15+O128*Parâmetros!$B$16+P128*Parâmetros!$B$17)/(5*SUM(Parâmetros!$B$12:$B$17)),0))</f>
        <v/>
      </c>
      <c r="R128" s="9" t="str">
        <f aca="false">IF(Q128="","",IF(Q128&gt;=Parâmetros!$B$20,"Modelar já",IF(Q128&gt;=Parâmetros!$B$21,"Monitorar","Descartar")))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7"/>
      <c r="J129" s="6"/>
      <c r="K129" s="8" t="str">
        <f aca="false">IF(D129="","",IF(D129&gt;=Parâmetros!$C$7,5,IF(D129&gt;=Parâmetros!$C$6,4,IF(D129&gt;=Parâmetros!$C$5,3,IF(D129&gt;=Parâmetros!$C$4,2,1)))))</f>
        <v/>
      </c>
      <c r="L129" s="8" t="str">
        <f aca="false">IF(E129="","",IF(E129&gt;=Parâmetros!$D$7,5,IF(E129&gt;=Parâmetros!$D$6,4,IF(E129&gt;=Parâmetros!$D$5,3,IF(E129&gt;=Parâmetros!$D$4,2,1)))))</f>
        <v/>
      </c>
      <c r="M129" s="8" t="str">
        <f aca="false">IF(F129="","",IF(F129&gt;=Parâmetros!$E$7,5,IF(F129&gt;=Parâmetros!$E$6,4,IF(F129&gt;=Parâmetros!$E$5,3,IF(F129&gt;=Parâmetros!$E$4,2,1)))))</f>
        <v/>
      </c>
      <c r="N129" s="8" t="str">
        <f aca="false">IF(G129="","",IF(G129&gt;=Parâmetros!$F$7,5,IF(G129&gt;=Parâmetros!$F$6,4,IF(G129&gt;=Parâmetros!$F$5,3,IF(G129&gt;=Parâmetros!$F$4,2,1)))))</f>
        <v/>
      </c>
      <c r="O129" s="8" t="str">
        <f aca="false">IF(H129="","",IF(H129="Sim",IF(I129&gt;=Parâmetros!$G$4,5,4),IF(I129&gt;=Parâmetros!$G$4,3,2)))</f>
        <v/>
      </c>
      <c r="P129" s="8" t="str">
        <f aca="false">IF(J129="","",J129)</f>
        <v/>
      </c>
      <c r="Q129" s="8" t="str">
        <f aca="false">IF(COUNT(K129:P129)&lt;6,"",ROUND(100*(K129*Parâmetros!$B$12+L129*Parâmetros!$B$13+M129*Parâmetros!$B$14+N129*Parâmetros!$B$15+O129*Parâmetros!$B$16+P129*Parâmetros!$B$17)/(5*SUM(Parâmetros!$B$12:$B$17)),0))</f>
        <v/>
      </c>
      <c r="R129" s="9" t="str">
        <f aca="false">IF(Q129="","",IF(Q129&gt;=Parâmetros!$B$20,"Modelar já",IF(Q129&gt;=Parâmetros!$B$21,"Monitorar","Descartar")))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7"/>
      <c r="J130" s="6"/>
      <c r="K130" s="8" t="str">
        <f aca="false">IF(D130="","",IF(D130&gt;=Parâmetros!$C$7,5,IF(D130&gt;=Parâmetros!$C$6,4,IF(D130&gt;=Parâmetros!$C$5,3,IF(D130&gt;=Parâmetros!$C$4,2,1)))))</f>
        <v/>
      </c>
      <c r="L130" s="8" t="str">
        <f aca="false">IF(E130="","",IF(E130&gt;=Parâmetros!$D$7,5,IF(E130&gt;=Parâmetros!$D$6,4,IF(E130&gt;=Parâmetros!$D$5,3,IF(E130&gt;=Parâmetros!$D$4,2,1)))))</f>
        <v/>
      </c>
      <c r="M130" s="8" t="str">
        <f aca="false">IF(F130="","",IF(F130&gt;=Parâmetros!$E$7,5,IF(F130&gt;=Parâmetros!$E$6,4,IF(F130&gt;=Parâmetros!$E$5,3,IF(F130&gt;=Parâmetros!$E$4,2,1)))))</f>
        <v/>
      </c>
      <c r="N130" s="8" t="str">
        <f aca="false">IF(G130="","",IF(G130&gt;=Parâmetros!$F$7,5,IF(G130&gt;=Parâmetros!$F$6,4,IF(G130&gt;=Parâmetros!$F$5,3,IF(G130&gt;=Parâmetros!$F$4,2,1)))))</f>
        <v/>
      </c>
      <c r="O130" s="8" t="str">
        <f aca="false">IF(H130="","",IF(H130="Sim",IF(I130&gt;=Parâmetros!$G$4,5,4),IF(I130&gt;=Parâmetros!$G$4,3,2)))</f>
        <v/>
      </c>
      <c r="P130" s="8" t="str">
        <f aca="false">IF(J130="","",J130)</f>
        <v/>
      </c>
      <c r="Q130" s="8" t="str">
        <f aca="false">IF(COUNT(K130:P130)&lt;6,"",ROUND(100*(K130*Parâmetros!$B$12+L130*Parâmetros!$B$13+M130*Parâmetros!$B$14+N130*Parâmetros!$B$15+O130*Parâmetros!$B$16+P130*Parâmetros!$B$17)/(5*SUM(Parâmetros!$B$12:$B$17)),0))</f>
        <v/>
      </c>
      <c r="R130" s="9" t="str">
        <f aca="false">IF(Q130="","",IF(Q130&gt;=Parâmetros!$B$20,"Modelar já",IF(Q130&gt;=Parâmetros!$B$21,"Monitorar","Descartar")))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7"/>
      <c r="J131" s="6"/>
      <c r="K131" s="8" t="str">
        <f aca="false">IF(D131="","",IF(D131&gt;=Parâmetros!$C$7,5,IF(D131&gt;=Parâmetros!$C$6,4,IF(D131&gt;=Parâmetros!$C$5,3,IF(D131&gt;=Parâmetros!$C$4,2,1)))))</f>
        <v/>
      </c>
      <c r="L131" s="8" t="str">
        <f aca="false">IF(E131="","",IF(E131&gt;=Parâmetros!$D$7,5,IF(E131&gt;=Parâmetros!$D$6,4,IF(E131&gt;=Parâmetros!$D$5,3,IF(E131&gt;=Parâmetros!$D$4,2,1)))))</f>
        <v/>
      </c>
      <c r="M131" s="8" t="str">
        <f aca="false">IF(F131="","",IF(F131&gt;=Parâmetros!$E$7,5,IF(F131&gt;=Parâmetros!$E$6,4,IF(F131&gt;=Parâmetros!$E$5,3,IF(F131&gt;=Parâmetros!$E$4,2,1)))))</f>
        <v/>
      </c>
      <c r="N131" s="8" t="str">
        <f aca="false">IF(G131="","",IF(G131&gt;=Parâmetros!$F$7,5,IF(G131&gt;=Parâmetros!$F$6,4,IF(G131&gt;=Parâmetros!$F$5,3,IF(G131&gt;=Parâmetros!$F$4,2,1)))))</f>
        <v/>
      </c>
      <c r="O131" s="8" t="str">
        <f aca="false">IF(H131="","",IF(H131="Sim",IF(I131&gt;=Parâmetros!$G$4,5,4),IF(I131&gt;=Parâmetros!$G$4,3,2)))</f>
        <v/>
      </c>
      <c r="P131" s="8" t="str">
        <f aca="false">IF(J131="","",J131)</f>
        <v/>
      </c>
      <c r="Q131" s="8" t="str">
        <f aca="false">IF(COUNT(K131:P131)&lt;6,"",ROUND(100*(K131*Parâmetros!$B$12+L131*Parâmetros!$B$13+M131*Parâmetros!$B$14+N131*Parâmetros!$B$15+O131*Parâmetros!$B$16+P131*Parâmetros!$B$17)/(5*SUM(Parâmetros!$B$12:$B$17)),0))</f>
        <v/>
      </c>
      <c r="R131" s="9" t="str">
        <f aca="false">IF(Q131="","",IF(Q131&gt;=Parâmetros!$B$20,"Modelar já",IF(Q131&gt;=Parâmetros!$B$21,"Monitorar","Descartar")))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7"/>
      <c r="J132" s="6"/>
      <c r="K132" s="8" t="str">
        <f aca="false">IF(D132="","",IF(D132&gt;=Parâmetros!$C$7,5,IF(D132&gt;=Parâmetros!$C$6,4,IF(D132&gt;=Parâmetros!$C$5,3,IF(D132&gt;=Parâmetros!$C$4,2,1)))))</f>
        <v/>
      </c>
      <c r="L132" s="8" t="str">
        <f aca="false">IF(E132="","",IF(E132&gt;=Parâmetros!$D$7,5,IF(E132&gt;=Parâmetros!$D$6,4,IF(E132&gt;=Parâmetros!$D$5,3,IF(E132&gt;=Parâmetros!$D$4,2,1)))))</f>
        <v/>
      </c>
      <c r="M132" s="8" t="str">
        <f aca="false">IF(F132="","",IF(F132&gt;=Parâmetros!$E$7,5,IF(F132&gt;=Parâmetros!$E$6,4,IF(F132&gt;=Parâmetros!$E$5,3,IF(F132&gt;=Parâmetros!$E$4,2,1)))))</f>
        <v/>
      </c>
      <c r="N132" s="8" t="str">
        <f aca="false">IF(G132="","",IF(G132&gt;=Parâmetros!$F$7,5,IF(G132&gt;=Parâmetros!$F$6,4,IF(G132&gt;=Parâmetros!$F$5,3,IF(G132&gt;=Parâmetros!$F$4,2,1)))))</f>
        <v/>
      </c>
      <c r="O132" s="8" t="str">
        <f aca="false">IF(H132="","",IF(H132="Sim",IF(I132&gt;=Parâmetros!$G$4,5,4),IF(I132&gt;=Parâmetros!$G$4,3,2)))</f>
        <v/>
      </c>
      <c r="P132" s="8" t="str">
        <f aca="false">IF(J132="","",J132)</f>
        <v/>
      </c>
      <c r="Q132" s="8" t="str">
        <f aca="false">IF(COUNT(K132:P132)&lt;6,"",ROUND(100*(K132*Parâmetros!$B$12+L132*Parâmetros!$B$13+M132*Parâmetros!$B$14+N132*Parâmetros!$B$15+O132*Parâmetros!$B$16+P132*Parâmetros!$B$17)/(5*SUM(Parâmetros!$B$12:$B$17)),0))</f>
        <v/>
      </c>
      <c r="R132" s="9" t="str">
        <f aca="false">IF(Q132="","",IF(Q132&gt;=Parâmetros!$B$20,"Modelar já",IF(Q132&gt;=Parâmetros!$B$21,"Monitorar","Descartar")))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7"/>
      <c r="J133" s="6"/>
      <c r="K133" s="8" t="str">
        <f aca="false">IF(D133="","",IF(D133&gt;=Parâmetros!$C$7,5,IF(D133&gt;=Parâmetros!$C$6,4,IF(D133&gt;=Parâmetros!$C$5,3,IF(D133&gt;=Parâmetros!$C$4,2,1)))))</f>
        <v/>
      </c>
      <c r="L133" s="8" t="str">
        <f aca="false">IF(E133="","",IF(E133&gt;=Parâmetros!$D$7,5,IF(E133&gt;=Parâmetros!$D$6,4,IF(E133&gt;=Parâmetros!$D$5,3,IF(E133&gt;=Parâmetros!$D$4,2,1)))))</f>
        <v/>
      </c>
      <c r="M133" s="8" t="str">
        <f aca="false">IF(F133="","",IF(F133&gt;=Parâmetros!$E$7,5,IF(F133&gt;=Parâmetros!$E$6,4,IF(F133&gt;=Parâmetros!$E$5,3,IF(F133&gt;=Parâmetros!$E$4,2,1)))))</f>
        <v/>
      </c>
      <c r="N133" s="8" t="str">
        <f aca="false">IF(G133="","",IF(G133&gt;=Parâmetros!$F$7,5,IF(G133&gt;=Parâmetros!$F$6,4,IF(G133&gt;=Parâmetros!$F$5,3,IF(G133&gt;=Parâmetros!$F$4,2,1)))))</f>
        <v/>
      </c>
      <c r="O133" s="8" t="str">
        <f aca="false">IF(H133="","",IF(H133="Sim",IF(I133&gt;=Parâmetros!$G$4,5,4),IF(I133&gt;=Parâmetros!$G$4,3,2)))</f>
        <v/>
      </c>
      <c r="P133" s="8" t="str">
        <f aca="false">IF(J133="","",J133)</f>
        <v/>
      </c>
      <c r="Q133" s="8" t="str">
        <f aca="false">IF(COUNT(K133:P133)&lt;6,"",ROUND(100*(K133*Parâmetros!$B$12+L133*Parâmetros!$B$13+M133*Parâmetros!$B$14+N133*Parâmetros!$B$15+O133*Parâmetros!$B$16+P133*Parâmetros!$B$17)/(5*SUM(Parâmetros!$B$12:$B$17)),0))</f>
        <v/>
      </c>
      <c r="R133" s="9" t="str">
        <f aca="false">IF(Q133="","",IF(Q133&gt;=Parâmetros!$B$20,"Modelar já",IF(Q133&gt;=Parâmetros!$B$21,"Monitorar","Descartar")))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7"/>
      <c r="J134" s="6"/>
      <c r="K134" s="8" t="str">
        <f aca="false">IF(D134="","",IF(D134&gt;=Parâmetros!$C$7,5,IF(D134&gt;=Parâmetros!$C$6,4,IF(D134&gt;=Parâmetros!$C$5,3,IF(D134&gt;=Parâmetros!$C$4,2,1)))))</f>
        <v/>
      </c>
      <c r="L134" s="8" t="str">
        <f aca="false">IF(E134="","",IF(E134&gt;=Parâmetros!$D$7,5,IF(E134&gt;=Parâmetros!$D$6,4,IF(E134&gt;=Parâmetros!$D$5,3,IF(E134&gt;=Parâmetros!$D$4,2,1)))))</f>
        <v/>
      </c>
      <c r="M134" s="8" t="str">
        <f aca="false">IF(F134="","",IF(F134&gt;=Parâmetros!$E$7,5,IF(F134&gt;=Parâmetros!$E$6,4,IF(F134&gt;=Parâmetros!$E$5,3,IF(F134&gt;=Parâmetros!$E$4,2,1)))))</f>
        <v/>
      </c>
      <c r="N134" s="8" t="str">
        <f aca="false">IF(G134="","",IF(G134&gt;=Parâmetros!$F$7,5,IF(G134&gt;=Parâmetros!$F$6,4,IF(G134&gt;=Parâmetros!$F$5,3,IF(G134&gt;=Parâmetros!$F$4,2,1)))))</f>
        <v/>
      </c>
      <c r="O134" s="8" t="str">
        <f aca="false">IF(H134="","",IF(H134="Sim",IF(I134&gt;=Parâmetros!$G$4,5,4),IF(I134&gt;=Parâmetros!$G$4,3,2)))</f>
        <v/>
      </c>
      <c r="P134" s="8" t="str">
        <f aca="false">IF(J134="","",J134)</f>
        <v/>
      </c>
      <c r="Q134" s="8" t="str">
        <f aca="false">IF(COUNT(K134:P134)&lt;6,"",ROUND(100*(K134*Parâmetros!$B$12+L134*Parâmetros!$B$13+M134*Parâmetros!$B$14+N134*Parâmetros!$B$15+O134*Parâmetros!$B$16+P134*Parâmetros!$B$17)/(5*SUM(Parâmetros!$B$12:$B$17)),0))</f>
        <v/>
      </c>
      <c r="R134" s="9" t="str">
        <f aca="false">IF(Q134="","",IF(Q134&gt;=Parâmetros!$B$20,"Modelar já",IF(Q134&gt;=Parâmetros!$B$21,"Monitorar","Descartar")))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7"/>
      <c r="J135" s="6"/>
      <c r="K135" s="8" t="str">
        <f aca="false">IF(D135="","",IF(D135&gt;=Parâmetros!$C$7,5,IF(D135&gt;=Parâmetros!$C$6,4,IF(D135&gt;=Parâmetros!$C$5,3,IF(D135&gt;=Parâmetros!$C$4,2,1)))))</f>
        <v/>
      </c>
      <c r="L135" s="8" t="str">
        <f aca="false">IF(E135="","",IF(E135&gt;=Parâmetros!$D$7,5,IF(E135&gt;=Parâmetros!$D$6,4,IF(E135&gt;=Parâmetros!$D$5,3,IF(E135&gt;=Parâmetros!$D$4,2,1)))))</f>
        <v/>
      </c>
      <c r="M135" s="8" t="str">
        <f aca="false">IF(F135="","",IF(F135&gt;=Parâmetros!$E$7,5,IF(F135&gt;=Parâmetros!$E$6,4,IF(F135&gt;=Parâmetros!$E$5,3,IF(F135&gt;=Parâmetros!$E$4,2,1)))))</f>
        <v/>
      </c>
      <c r="N135" s="8" t="str">
        <f aca="false">IF(G135="","",IF(G135&gt;=Parâmetros!$F$7,5,IF(G135&gt;=Parâmetros!$F$6,4,IF(G135&gt;=Parâmetros!$F$5,3,IF(G135&gt;=Parâmetros!$F$4,2,1)))))</f>
        <v/>
      </c>
      <c r="O135" s="8" t="str">
        <f aca="false">IF(H135="","",IF(H135="Sim",IF(I135&gt;=Parâmetros!$G$4,5,4),IF(I135&gt;=Parâmetros!$G$4,3,2)))</f>
        <v/>
      </c>
      <c r="P135" s="8" t="str">
        <f aca="false">IF(J135="","",J135)</f>
        <v/>
      </c>
      <c r="Q135" s="8" t="str">
        <f aca="false">IF(COUNT(K135:P135)&lt;6,"",ROUND(100*(K135*Parâmetros!$B$12+L135*Parâmetros!$B$13+M135*Parâmetros!$B$14+N135*Parâmetros!$B$15+O135*Parâmetros!$B$16+P135*Parâmetros!$B$17)/(5*SUM(Parâmetros!$B$12:$B$17)),0))</f>
        <v/>
      </c>
      <c r="R135" s="9" t="str">
        <f aca="false">IF(Q135="","",IF(Q135&gt;=Parâmetros!$B$20,"Modelar já",IF(Q135&gt;=Parâmetros!$B$21,"Monitorar","Descartar")))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7"/>
      <c r="J136" s="6"/>
      <c r="K136" s="8" t="str">
        <f aca="false">IF(D136="","",IF(D136&gt;=Parâmetros!$C$7,5,IF(D136&gt;=Parâmetros!$C$6,4,IF(D136&gt;=Parâmetros!$C$5,3,IF(D136&gt;=Parâmetros!$C$4,2,1)))))</f>
        <v/>
      </c>
      <c r="L136" s="8" t="str">
        <f aca="false">IF(E136="","",IF(E136&gt;=Parâmetros!$D$7,5,IF(E136&gt;=Parâmetros!$D$6,4,IF(E136&gt;=Parâmetros!$D$5,3,IF(E136&gt;=Parâmetros!$D$4,2,1)))))</f>
        <v/>
      </c>
      <c r="M136" s="8" t="str">
        <f aca="false">IF(F136="","",IF(F136&gt;=Parâmetros!$E$7,5,IF(F136&gt;=Parâmetros!$E$6,4,IF(F136&gt;=Parâmetros!$E$5,3,IF(F136&gt;=Parâmetros!$E$4,2,1)))))</f>
        <v/>
      </c>
      <c r="N136" s="8" t="str">
        <f aca="false">IF(G136="","",IF(G136&gt;=Parâmetros!$F$7,5,IF(G136&gt;=Parâmetros!$F$6,4,IF(G136&gt;=Parâmetros!$F$5,3,IF(G136&gt;=Parâmetros!$F$4,2,1)))))</f>
        <v/>
      </c>
      <c r="O136" s="8" t="str">
        <f aca="false">IF(H136="","",IF(H136="Sim",IF(I136&gt;=Parâmetros!$G$4,5,4),IF(I136&gt;=Parâmetros!$G$4,3,2)))</f>
        <v/>
      </c>
      <c r="P136" s="8" t="str">
        <f aca="false">IF(J136="","",J136)</f>
        <v/>
      </c>
      <c r="Q136" s="8" t="str">
        <f aca="false">IF(COUNT(K136:P136)&lt;6,"",ROUND(100*(K136*Parâmetros!$B$12+L136*Parâmetros!$B$13+M136*Parâmetros!$B$14+N136*Parâmetros!$B$15+O136*Parâmetros!$B$16+P136*Parâmetros!$B$17)/(5*SUM(Parâmetros!$B$12:$B$17)),0))</f>
        <v/>
      </c>
      <c r="R136" s="9" t="str">
        <f aca="false">IF(Q136="","",IF(Q136&gt;=Parâmetros!$B$20,"Modelar já",IF(Q136&gt;=Parâmetros!$B$21,"Monitorar","Descartar")))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7"/>
      <c r="J137" s="6"/>
      <c r="K137" s="8" t="str">
        <f aca="false">IF(D137="","",IF(D137&gt;=Parâmetros!$C$7,5,IF(D137&gt;=Parâmetros!$C$6,4,IF(D137&gt;=Parâmetros!$C$5,3,IF(D137&gt;=Parâmetros!$C$4,2,1)))))</f>
        <v/>
      </c>
      <c r="L137" s="8" t="str">
        <f aca="false">IF(E137="","",IF(E137&gt;=Parâmetros!$D$7,5,IF(E137&gt;=Parâmetros!$D$6,4,IF(E137&gt;=Parâmetros!$D$5,3,IF(E137&gt;=Parâmetros!$D$4,2,1)))))</f>
        <v/>
      </c>
      <c r="M137" s="8" t="str">
        <f aca="false">IF(F137="","",IF(F137&gt;=Parâmetros!$E$7,5,IF(F137&gt;=Parâmetros!$E$6,4,IF(F137&gt;=Parâmetros!$E$5,3,IF(F137&gt;=Parâmetros!$E$4,2,1)))))</f>
        <v/>
      </c>
      <c r="N137" s="8" t="str">
        <f aca="false">IF(G137="","",IF(G137&gt;=Parâmetros!$F$7,5,IF(G137&gt;=Parâmetros!$F$6,4,IF(G137&gt;=Parâmetros!$F$5,3,IF(G137&gt;=Parâmetros!$F$4,2,1)))))</f>
        <v/>
      </c>
      <c r="O137" s="8" t="str">
        <f aca="false">IF(H137="","",IF(H137="Sim",IF(I137&gt;=Parâmetros!$G$4,5,4),IF(I137&gt;=Parâmetros!$G$4,3,2)))</f>
        <v/>
      </c>
      <c r="P137" s="8" t="str">
        <f aca="false">IF(J137="","",J137)</f>
        <v/>
      </c>
      <c r="Q137" s="8" t="str">
        <f aca="false">IF(COUNT(K137:P137)&lt;6,"",ROUND(100*(K137*Parâmetros!$B$12+L137*Parâmetros!$B$13+M137*Parâmetros!$B$14+N137*Parâmetros!$B$15+O137*Parâmetros!$B$16+P137*Parâmetros!$B$17)/(5*SUM(Parâmetros!$B$12:$B$17)),0))</f>
        <v/>
      </c>
      <c r="R137" s="9" t="str">
        <f aca="false">IF(Q137="","",IF(Q137&gt;=Parâmetros!$B$20,"Modelar já",IF(Q137&gt;=Parâmetros!$B$21,"Monitorar","Descartar")))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7"/>
      <c r="J138" s="6"/>
      <c r="K138" s="8" t="str">
        <f aca="false">IF(D138="","",IF(D138&gt;=Parâmetros!$C$7,5,IF(D138&gt;=Parâmetros!$C$6,4,IF(D138&gt;=Parâmetros!$C$5,3,IF(D138&gt;=Parâmetros!$C$4,2,1)))))</f>
        <v/>
      </c>
      <c r="L138" s="8" t="str">
        <f aca="false">IF(E138="","",IF(E138&gt;=Parâmetros!$D$7,5,IF(E138&gt;=Parâmetros!$D$6,4,IF(E138&gt;=Parâmetros!$D$5,3,IF(E138&gt;=Parâmetros!$D$4,2,1)))))</f>
        <v/>
      </c>
      <c r="M138" s="8" t="str">
        <f aca="false">IF(F138="","",IF(F138&gt;=Parâmetros!$E$7,5,IF(F138&gt;=Parâmetros!$E$6,4,IF(F138&gt;=Parâmetros!$E$5,3,IF(F138&gt;=Parâmetros!$E$4,2,1)))))</f>
        <v/>
      </c>
      <c r="N138" s="8" t="str">
        <f aca="false">IF(G138="","",IF(G138&gt;=Parâmetros!$F$7,5,IF(G138&gt;=Parâmetros!$F$6,4,IF(G138&gt;=Parâmetros!$F$5,3,IF(G138&gt;=Parâmetros!$F$4,2,1)))))</f>
        <v/>
      </c>
      <c r="O138" s="8" t="str">
        <f aca="false">IF(H138="","",IF(H138="Sim",IF(I138&gt;=Parâmetros!$G$4,5,4),IF(I138&gt;=Parâmetros!$G$4,3,2)))</f>
        <v/>
      </c>
      <c r="P138" s="8" t="str">
        <f aca="false">IF(J138="","",J138)</f>
        <v/>
      </c>
      <c r="Q138" s="8" t="str">
        <f aca="false">IF(COUNT(K138:P138)&lt;6,"",ROUND(100*(K138*Parâmetros!$B$12+L138*Parâmetros!$B$13+M138*Parâmetros!$B$14+N138*Parâmetros!$B$15+O138*Parâmetros!$B$16+P138*Parâmetros!$B$17)/(5*SUM(Parâmetros!$B$12:$B$17)),0))</f>
        <v/>
      </c>
      <c r="R138" s="9" t="str">
        <f aca="false">IF(Q138="","",IF(Q138&gt;=Parâmetros!$B$20,"Modelar já",IF(Q138&gt;=Parâmetros!$B$21,"Monitorar","Descartar")))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7"/>
      <c r="J139" s="6"/>
      <c r="K139" s="8" t="str">
        <f aca="false">IF(D139="","",IF(D139&gt;=Parâmetros!$C$7,5,IF(D139&gt;=Parâmetros!$C$6,4,IF(D139&gt;=Parâmetros!$C$5,3,IF(D139&gt;=Parâmetros!$C$4,2,1)))))</f>
        <v/>
      </c>
      <c r="L139" s="8" t="str">
        <f aca="false">IF(E139="","",IF(E139&gt;=Parâmetros!$D$7,5,IF(E139&gt;=Parâmetros!$D$6,4,IF(E139&gt;=Parâmetros!$D$5,3,IF(E139&gt;=Parâmetros!$D$4,2,1)))))</f>
        <v/>
      </c>
      <c r="M139" s="8" t="str">
        <f aca="false">IF(F139="","",IF(F139&gt;=Parâmetros!$E$7,5,IF(F139&gt;=Parâmetros!$E$6,4,IF(F139&gt;=Parâmetros!$E$5,3,IF(F139&gt;=Parâmetros!$E$4,2,1)))))</f>
        <v/>
      </c>
      <c r="N139" s="8" t="str">
        <f aca="false">IF(G139="","",IF(G139&gt;=Parâmetros!$F$7,5,IF(G139&gt;=Parâmetros!$F$6,4,IF(G139&gt;=Parâmetros!$F$5,3,IF(G139&gt;=Parâmetros!$F$4,2,1)))))</f>
        <v/>
      </c>
      <c r="O139" s="8" t="str">
        <f aca="false">IF(H139="","",IF(H139="Sim",IF(I139&gt;=Parâmetros!$G$4,5,4),IF(I139&gt;=Parâmetros!$G$4,3,2)))</f>
        <v/>
      </c>
      <c r="P139" s="8" t="str">
        <f aca="false">IF(J139="","",J139)</f>
        <v/>
      </c>
      <c r="Q139" s="8" t="str">
        <f aca="false">IF(COUNT(K139:P139)&lt;6,"",ROUND(100*(K139*Parâmetros!$B$12+L139*Parâmetros!$B$13+M139*Parâmetros!$B$14+N139*Parâmetros!$B$15+O139*Parâmetros!$B$16+P139*Parâmetros!$B$17)/(5*SUM(Parâmetros!$B$12:$B$17)),0))</f>
        <v/>
      </c>
      <c r="R139" s="9" t="str">
        <f aca="false">IF(Q139="","",IF(Q139&gt;=Parâmetros!$B$20,"Modelar já",IF(Q139&gt;=Parâmetros!$B$21,"Monitorar","Descartar")))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7"/>
      <c r="J140" s="6"/>
      <c r="K140" s="8" t="str">
        <f aca="false">IF(D140="","",IF(D140&gt;=Parâmetros!$C$7,5,IF(D140&gt;=Parâmetros!$C$6,4,IF(D140&gt;=Parâmetros!$C$5,3,IF(D140&gt;=Parâmetros!$C$4,2,1)))))</f>
        <v/>
      </c>
      <c r="L140" s="8" t="str">
        <f aca="false">IF(E140="","",IF(E140&gt;=Parâmetros!$D$7,5,IF(E140&gt;=Parâmetros!$D$6,4,IF(E140&gt;=Parâmetros!$D$5,3,IF(E140&gt;=Parâmetros!$D$4,2,1)))))</f>
        <v/>
      </c>
      <c r="M140" s="8" t="str">
        <f aca="false">IF(F140="","",IF(F140&gt;=Parâmetros!$E$7,5,IF(F140&gt;=Parâmetros!$E$6,4,IF(F140&gt;=Parâmetros!$E$5,3,IF(F140&gt;=Parâmetros!$E$4,2,1)))))</f>
        <v/>
      </c>
      <c r="N140" s="8" t="str">
        <f aca="false">IF(G140="","",IF(G140&gt;=Parâmetros!$F$7,5,IF(G140&gt;=Parâmetros!$F$6,4,IF(G140&gt;=Parâmetros!$F$5,3,IF(G140&gt;=Parâmetros!$F$4,2,1)))))</f>
        <v/>
      </c>
      <c r="O140" s="8" t="str">
        <f aca="false">IF(H140="","",IF(H140="Sim",IF(I140&gt;=Parâmetros!$G$4,5,4),IF(I140&gt;=Parâmetros!$G$4,3,2)))</f>
        <v/>
      </c>
      <c r="P140" s="8" t="str">
        <f aca="false">IF(J140="","",J140)</f>
        <v/>
      </c>
      <c r="Q140" s="8" t="str">
        <f aca="false">IF(COUNT(K140:P140)&lt;6,"",ROUND(100*(K140*Parâmetros!$B$12+L140*Parâmetros!$B$13+M140*Parâmetros!$B$14+N140*Parâmetros!$B$15+O140*Parâmetros!$B$16+P140*Parâmetros!$B$17)/(5*SUM(Parâmetros!$B$12:$B$17)),0))</f>
        <v/>
      </c>
      <c r="R140" s="9" t="str">
        <f aca="false">IF(Q140="","",IF(Q140&gt;=Parâmetros!$B$20,"Modelar já",IF(Q140&gt;=Parâmetros!$B$21,"Monitorar","Descartar")))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7"/>
      <c r="J141" s="6"/>
      <c r="K141" s="8" t="str">
        <f aca="false">IF(D141="","",IF(D141&gt;=Parâmetros!$C$7,5,IF(D141&gt;=Parâmetros!$C$6,4,IF(D141&gt;=Parâmetros!$C$5,3,IF(D141&gt;=Parâmetros!$C$4,2,1)))))</f>
        <v/>
      </c>
      <c r="L141" s="8" t="str">
        <f aca="false">IF(E141="","",IF(E141&gt;=Parâmetros!$D$7,5,IF(E141&gt;=Parâmetros!$D$6,4,IF(E141&gt;=Parâmetros!$D$5,3,IF(E141&gt;=Parâmetros!$D$4,2,1)))))</f>
        <v/>
      </c>
      <c r="M141" s="8" t="str">
        <f aca="false">IF(F141="","",IF(F141&gt;=Parâmetros!$E$7,5,IF(F141&gt;=Parâmetros!$E$6,4,IF(F141&gt;=Parâmetros!$E$5,3,IF(F141&gt;=Parâmetros!$E$4,2,1)))))</f>
        <v/>
      </c>
      <c r="N141" s="8" t="str">
        <f aca="false">IF(G141="","",IF(G141&gt;=Parâmetros!$F$7,5,IF(G141&gt;=Parâmetros!$F$6,4,IF(G141&gt;=Parâmetros!$F$5,3,IF(G141&gt;=Parâmetros!$F$4,2,1)))))</f>
        <v/>
      </c>
      <c r="O141" s="8" t="str">
        <f aca="false">IF(H141="","",IF(H141="Sim",IF(I141&gt;=Parâmetros!$G$4,5,4),IF(I141&gt;=Parâmetros!$G$4,3,2)))</f>
        <v/>
      </c>
      <c r="P141" s="8" t="str">
        <f aca="false">IF(J141="","",J141)</f>
        <v/>
      </c>
      <c r="Q141" s="8" t="str">
        <f aca="false">IF(COUNT(K141:P141)&lt;6,"",ROUND(100*(K141*Parâmetros!$B$12+L141*Parâmetros!$B$13+M141*Parâmetros!$B$14+N141*Parâmetros!$B$15+O141*Parâmetros!$B$16+P141*Parâmetros!$B$17)/(5*SUM(Parâmetros!$B$12:$B$17)),0))</f>
        <v/>
      </c>
      <c r="R141" s="9" t="str">
        <f aca="false">IF(Q141="","",IF(Q141&gt;=Parâmetros!$B$20,"Modelar já",IF(Q141&gt;=Parâmetros!$B$21,"Monitorar","Descartar")))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7"/>
      <c r="J142" s="6"/>
      <c r="K142" s="8" t="str">
        <f aca="false">IF(D142="","",IF(D142&gt;=Parâmetros!$C$7,5,IF(D142&gt;=Parâmetros!$C$6,4,IF(D142&gt;=Parâmetros!$C$5,3,IF(D142&gt;=Parâmetros!$C$4,2,1)))))</f>
        <v/>
      </c>
      <c r="L142" s="8" t="str">
        <f aca="false">IF(E142="","",IF(E142&gt;=Parâmetros!$D$7,5,IF(E142&gt;=Parâmetros!$D$6,4,IF(E142&gt;=Parâmetros!$D$5,3,IF(E142&gt;=Parâmetros!$D$4,2,1)))))</f>
        <v/>
      </c>
      <c r="M142" s="8" t="str">
        <f aca="false">IF(F142="","",IF(F142&gt;=Parâmetros!$E$7,5,IF(F142&gt;=Parâmetros!$E$6,4,IF(F142&gt;=Parâmetros!$E$5,3,IF(F142&gt;=Parâmetros!$E$4,2,1)))))</f>
        <v/>
      </c>
      <c r="N142" s="8" t="str">
        <f aca="false">IF(G142="","",IF(G142&gt;=Parâmetros!$F$7,5,IF(G142&gt;=Parâmetros!$F$6,4,IF(G142&gt;=Parâmetros!$F$5,3,IF(G142&gt;=Parâmetros!$F$4,2,1)))))</f>
        <v/>
      </c>
      <c r="O142" s="8" t="str">
        <f aca="false">IF(H142="","",IF(H142="Sim",IF(I142&gt;=Parâmetros!$G$4,5,4),IF(I142&gt;=Parâmetros!$G$4,3,2)))</f>
        <v/>
      </c>
      <c r="P142" s="8" t="str">
        <f aca="false">IF(J142="","",J142)</f>
        <v/>
      </c>
      <c r="Q142" s="8" t="str">
        <f aca="false">IF(COUNT(K142:P142)&lt;6,"",ROUND(100*(K142*Parâmetros!$B$12+L142*Parâmetros!$B$13+M142*Parâmetros!$B$14+N142*Parâmetros!$B$15+O142*Parâmetros!$B$16+P142*Parâmetros!$B$17)/(5*SUM(Parâmetros!$B$12:$B$17)),0))</f>
        <v/>
      </c>
      <c r="R142" s="9" t="str">
        <f aca="false">IF(Q142="","",IF(Q142&gt;=Parâmetros!$B$20,"Modelar já",IF(Q142&gt;=Parâmetros!$B$21,"Monitorar","Descartar")))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7"/>
      <c r="J143" s="6"/>
      <c r="K143" s="8" t="str">
        <f aca="false">IF(D143="","",IF(D143&gt;=Parâmetros!$C$7,5,IF(D143&gt;=Parâmetros!$C$6,4,IF(D143&gt;=Parâmetros!$C$5,3,IF(D143&gt;=Parâmetros!$C$4,2,1)))))</f>
        <v/>
      </c>
      <c r="L143" s="8" t="str">
        <f aca="false">IF(E143="","",IF(E143&gt;=Parâmetros!$D$7,5,IF(E143&gt;=Parâmetros!$D$6,4,IF(E143&gt;=Parâmetros!$D$5,3,IF(E143&gt;=Parâmetros!$D$4,2,1)))))</f>
        <v/>
      </c>
      <c r="M143" s="8" t="str">
        <f aca="false">IF(F143="","",IF(F143&gt;=Parâmetros!$E$7,5,IF(F143&gt;=Parâmetros!$E$6,4,IF(F143&gt;=Parâmetros!$E$5,3,IF(F143&gt;=Parâmetros!$E$4,2,1)))))</f>
        <v/>
      </c>
      <c r="N143" s="8" t="str">
        <f aca="false">IF(G143="","",IF(G143&gt;=Parâmetros!$F$7,5,IF(G143&gt;=Parâmetros!$F$6,4,IF(G143&gt;=Parâmetros!$F$5,3,IF(G143&gt;=Parâmetros!$F$4,2,1)))))</f>
        <v/>
      </c>
      <c r="O143" s="8" t="str">
        <f aca="false">IF(H143="","",IF(H143="Sim",IF(I143&gt;=Parâmetros!$G$4,5,4),IF(I143&gt;=Parâmetros!$G$4,3,2)))</f>
        <v/>
      </c>
      <c r="P143" s="8" t="str">
        <f aca="false">IF(J143="","",J143)</f>
        <v/>
      </c>
      <c r="Q143" s="8" t="str">
        <f aca="false">IF(COUNT(K143:P143)&lt;6,"",ROUND(100*(K143*Parâmetros!$B$12+L143*Parâmetros!$B$13+M143*Parâmetros!$B$14+N143*Parâmetros!$B$15+O143*Parâmetros!$B$16+P143*Parâmetros!$B$17)/(5*SUM(Parâmetros!$B$12:$B$17)),0))</f>
        <v/>
      </c>
      <c r="R143" s="9" t="str">
        <f aca="false">IF(Q143="","",IF(Q143&gt;=Parâmetros!$B$20,"Modelar já",IF(Q143&gt;=Parâmetros!$B$21,"Monitorar","Descartar")))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7"/>
      <c r="J144" s="6"/>
      <c r="K144" s="8" t="str">
        <f aca="false">IF(D144="","",IF(D144&gt;=Parâmetros!$C$7,5,IF(D144&gt;=Parâmetros!$C$6,4,IF(D144&gt;=Parâmetros!$C$5,3,IF(D144&gt;=Parâmetros!$C$4,2,1)))))</f>
        <v/>
      </c>
      <c r="L144" s="8" t="str">
        <f aca="false">IF(E144="","",IF(E144&gt;=Parâmetros!$D$7,5,IF(E144&gt;=Parâmetros!$D$6,4,IF(E144&gt;=Parâmetros!$D$5,3,IF(E144&gt;=Parâmetros!$D$4,2,1)))))</f>
        <v/>
      </c>
      <c r="M144" s="8" t="str">
        <f aca="false">IF(F144="","",IF(F144&gt;=Parâmetros!$E$7,5,IF(F144&gt;=Parâmetros!$E$6,4,IF(F144&gt;=Parâmetros!$E$5,3,IF(F144&gt;=Parâmetros!$E$4,2,1)))))</f>
        <v/>
      </c>
      <c r="N144" s="8" t="str">
        <f aca="false">IF(G144="","",IF(G144&gt;=Parâmetros!$F$7,5,IF(G144&gt;=Parâmetros!$F$6,4,IF(G144&gt;=Parâmetros!$F$5,3,IF(G144&gt;=Parâmetros!$F$4,2,1)))))</f>
        <v/>
      </c>
      <c r="O144" s="8" t="str">
        <f aca="false">IF(H144="","",IF(H144="Sim",IF(I144&gt;=Parâmetros!$G$4,5,4),IF(I144&gt;=Parâmetros!$G$4,3,2)))</f>
        <v/>
      </c>
      <c r="P144" s="8" t="str">
        <f aca="false">IF(J144="","",J144)</f>
        <v/>
      </c>
      <c r="Q144" s="8" t="str">
        <f aca="false">IF(COUNT(K144:P144)&lt;6,"",ROUND(100*(K144*Parâmetros!$B$12+L144*Parâmetros!$B$13+M144*Parâmetros!$B$14+N144*Parâmetros!$B$15+O144*Parâmetros!$B$16+P144*Parâmetros!$B$17)/(5*SUM(Parâmetros!$B$12:$B$17)),0))</f>
        <v/>
      </c>
      <c r="R144" s="9" t="str">
        <f aca="false">IF(Q144="","",IF(Q144&gt;=Parâmetros!$B$20,"Modelar já",IF(Q144&gt;=Parâmetros!$B$21,"Monitorar","Descartar")))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7"/>
      <c r="J145" s="6"/>
      <c r="K145" s="8" t="str">
        <f aca="false">IF(D145="","",IF(D145&gt;=Parâmetros!$C$7,5,IF(D145&gt;=Parâmetros!$C$6,4,IF(D145&gt;=Parâmetros!$C$5,3,IF(D145&gt;=Parâmetros!$C$4,2,1)))))</f>
        <v/>
      </c>
      <c r="L145" s="8" t="str">
        <f aca="false">IF(E145="","",IF(E145&gt;=Parâmetros!$D$7,5,IF(E145&gt;=Parâmetros!$D$6,4,IF(E145&gt;=Parâmetros!$D$5,3,IF(E145&gt;=Parâmetros!$D$4,2,1)))))</f>
        <v/>
      </c>
      <c r="M145" s="8" t="str">
        <f aca="false">IF(F145="","",IF(F145&gt;=Parâmetros!$E$7,5,IF(F145&gt;=Parâmetros!$E$6,4,IF(F145&gt;=Parâmetros!$E$5,3,IF(F145&gt;=Parâmetros!$E$4,2,1)))))</f>
        <v/>
      </c>
      <c r="N145" s="8" t="str">
        <f aca="false">IF(G145="","",IF(G145&gt;=Parâmetros!$F$7,5,IF(G145&gt;=Parâmetros!$F$6,4,IF(G145&gt;=Parâmetros!$F$5,3,IF(G145&gt;=Parâmetros!$F$4,2,1)))))</f>
        <v/>
      </c>
      <c r="O145" s="8" t="str">
        <f aca="false">IF(H145="","",IF(H145="Sim",IF(I145&gt;=Parâmetros!$G$4,5,4),IF(I145&gt;=Parâmetros!$G$4,3,2)))</f>
        <v/>
      </c>
      <c r="P145" s="8" t="str">
        <f aca="false">IF(J145="","",J145)</f>
        <v/>
      </c>
      <c r="Q145" s="8" t="str">
        <f aca="false">IF(COUNT(K145:P145)&lt;6,"",ROUND(100*(K145*Parâmetros!$B$12+L145*Parâmetros!$B$13+M145*Parâmetros!$B$14+N145*Parâmetros!$B$15+O145*Parâmetros!$B$16+P145*Parâmetros!$B$17)/(5*SUM(Parâmetros!$B$12:$B$17)),0))</f>
        <v/>
      </c>
      <c r="R145" s="9" t="str">
        <f aca="false">IF(Q145="","",IF(Q145&gt;=Parâmetros!$B$20,"Modelar já",IF(Q145&gt;=Parâmetros!$B$21,"Monitorar","Descartar")))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7"/>
      <c r="J146" s="6"/>
      <c r="K146" s="8" t="str">
        <f aca="false">IF(D146="","",IF(D146&gt;=Parâmetros!$C$7,5,IF(D146&gt;=Parâmetros!$C$6,4,IF(D146&gt;=Parâmetros!$C$5,3,IF(D146&gt;=Parâmetros!$C$4,2,1)))))</f>
        <v/>
      </c>
      <c r="L146" s="8" t="str">
        <f aca="false">IF(E146="","",IF(E146&gt;=Parâmetros!$D$7,5,IF(E146&gt;=Parâmetros!$D$6,4,IF(E146&gt;=Parâmetros!$D$5,3,IF(E146&gt;=Parâmetros!$D$4,2,1)))))</f>
        <v/>
      </c>
      <c r="M146" s="8" t="str">
        <f aca="false">IF(F146="","",IF(F146&gt;=Parâmetros!$E$7,5,IF(F146&gt;=Parâmetros!$E$6,4,IF(F146&gt;=Parâmetros!$E$5,3,IF(F146&gt;=Parâmetros!$E$4,2,1)))))</f>
        <v/>
      </c>
      <c r="N146" s="8" t="str">
        <f aca="false">IF(G146="","",IF(G146&gt;=Parâmetros!$F$7,5,IF(G146&gt;=Parâmetros!$F$6,4,IF(G146&gt;=Parâmetros!$F$5,3,IF(G146&gt;=Parâmetros!$F$4,2,1)))))</f>
        <v/>
      </c>
      <c r="O146" s="8" t="str">
        <f aca="false">IF(H146="","",IF(H146="Sim",IF(I146&gt;=Parâmetros!$G$4,5,4),IF(I146&gt;=Parâmetros!$G$4,3,2)))</f>
        <v/>
      </c>
      <c r="P146" s="8" t="str">
        <f aca="false">IF(J146="","",J146)</f>
        <v/>
      </c>
      <c r="Q146" s="8" t="str">
        <f aca="false">IF(COUNT(K146:P146)&lt;6,"",ROUND(100*(K146*Parâmetros!$B$12+L146*Parâmetros!$B$13+M146*Parâmetros!$B$14+N146*Parâmetros!$B$15+O146*Parâmetros!$B$16+P146*Parâmetros!$B$17)/(5*SUM(Parâmetros!$B$12:$B$17)),0))</f>
        <v/>
      </c>
      <c r="R146" s="9" t="str">
        <f aca="false">IF(Q146="","",IF(Q146&gt;=Parâmetros!$B$20,"Modelar já",IF(Q146&gt;=Parâmetros!$B$21,"Monitorar","Descartar")))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7"/>
      <c r="J147" s="6"/>
      <c r="K147" s="8" t="str">
        <f aca="false">IF(D147="","",IF(D147&gt;=Parâmetros!$C$7,5,IF(D147&gt;=Parâmetros!$C$6,4,IF(D147&gt;=Parâmetros!$C$5,3,IF(D147&gt;=Parâmetros!$C$4,2,1)))))</f>
        <v/>
      </c>
      <c r="L147" s="8" t="str">
        <f aca="false">IF(E147="","",IF(E147&gt;=Parâmetros!$D$7,5,IF(E147&gt;=Parâmetros!$D$6,4,IF(E147&gt;=Parâmetros!$D$5,3,IF(E147&gt;=Parâmetros!$D$4,2,1)))))</f>
        <v/>
      </c>
      <c r="M147" s="8" t="str">
        <f aca="false">IF(F147="","",IF(F147&gt;=Parâmetros!$E$7,5,IF(F147&gt;=Parâmetros!$E$6,4,IF(F147&gt;=Parâmetros!$E$5,3,IF(F147&gt;=Parâmetros!$E$4,2,1)))))</f>
        <v/>
      </c>
      <c r="N147" s="8" t="str">
        <f aca="false">IF(G147="","",IF(G147&gt;=Parâmetros!$F$7,5,IF(G147&gt;=Parâmetros!$F$6,4,IF(G147&gt;=Parâmetros!$F$5,3,IF(G147&gt;=Parâmetros!$F$4,2,1)))))</f>
        <v/>
      </c>
      <c r="O147" s="8" t="str">
        <f aca="false">IF(H147="","",IF(H147="Sim",IF(I147&gt;=Parâmetros!$G$4,5,4),IF(I147&gt;=Parâmetros!$G$4,3,2)))</f>
        <v/>
      </c>
      <c r="P147" s="8" t="str">
        <f aca="false">IF(J147="","",J147)</f>
        <v/>
      </c>
      <c r="Q147" s="8" t="str">
        <f aca="false">IF(COUNT(K147:P147)&lt;6,"",ROUND(100*(K147*Parâmetros!$B$12+L147*Parâmetros!$B$13+M147*Parâmetros!$B$14+N147*Parâmetros!$B$15+O147*Parâmetros!$B$16+P147*Parâmetros!$B$17)/(5*SUM(Parâmetros!$B$12:$B$17)),0))</f>
        <v/>
      </c>
      <c r="R147" s="9" t="str">
        <f aca="false">IF(Q147="","",IF(Q147&gt;=Parâmetros!$B$20,"Modelar já",IF(Q147&gt;=Parâmetros!$B$21,"Monitorar","Descartar")))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7"/>
      <c r="J148" s="6"/>
      <c r="K148" s="8" t="str">
        <f aca="false">IF(D148="","",IF(D148&gt;=Parâmetros!$C$7,5,IF(D148&gt;=Parâmetros!$C$6,4,IF(D148&gt;=Parâmetros!$C$5,3,IF(D148&gt;=Parâmetros!$C$4,2,1)))))</f>
        <v/>
      </c>
      <c r="L148" s="8" t="str">
        <f aca="false">IF(E148="","",IF(E148&gt;=Parâmetros!$D$7,5,IF(E148&gt;=Parâmetros!$D$6,4,IF(E148&gt;=Parâmetros!$D$5,3,IF(E148&gt;=Parâmetros!$D$4,2,1)))))</f>
        <v/>
      </c>
      <c r="M148" s="8" t="str">
        <f aca="false">IF(F148="","",IF(F148&gt;=Parâmetros!$E$7,5,IF(F148&gt;=Parâmetros!$E$6,4,IF(F148&gt;=Parâmetros!$E$5,3,IF(F148&gt;=Parâmetros!$E$4,2,1)))))</f>
        <v/>
      </c>
      <c r="N148" s="8" t="str">
        <f aca="false">IF(G148="","",IF(G148&gt;=Parâmetros!$F$7,5,IF(G148&gt;=Parâmetros!$F$6,4,IF(G148&gt;=Parâmetros!$F$5,3,IF(G148&gt;=Parâmetros!$F$4,2,1)))))</f>
        <v/>
      </c>
      <c r="O148" s="8" t="str">
        <f aca="false">IF(H148="","",IF(H148="Sim",IF(I148&gt;=Parâmetros!$G$4,5,4),IF(I148&gt;=Parâmetros!$G$4,3,2)))</f>
        <v/>
      </c>
      <c r="P148" s="8" t="str">
        <f aca="false">IF(J148="","",J148)</f>
        <v/>
      </c>
      <c r="Q148" s="8" t="str">
        <f aca="false">IF(COUNT(K148:P148)&lt;6,"",ROUND(100*(K148*Parâmetros!$B$12+L148*Parâmetros!$B$13+M148*Parâmetros!$B$14+N148*Parâmetros!$B$15+O148*Parâmetros!$B$16+P148*Parâmetros!$B$17)/(5*SUM(Parâmetros!$B$12:$B$17)),0))</f>
        <v/>
      </c>
      <c r="R148" s="9" t="str">
        <f aca="false">IF(Q148="","",IF(Q148&gt;=Parâmetros!$B$20,"Modelar já",IF(Q148&gt;=Parâmetros!$B$21,"Monitorar","Descartar")))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7"/>
      <c r="J149" s="6"/>
      <c r="K149" s="8" t="str">
        <f aca="false">IF(D149="","",IF(D149&gt;=Parâmetros!$C$7,5,IF(D149&gt;=Parâmetros!$C$6,4,IF(D149&gt;=Parâmetros!$C$5,3,IF(D149&gt;=Parâmetros!$C$4,2,1)))))</f>
        <v/>
      </c>
      <c r="L149" s="8" t="str">
        <f aca="false">IF(E149="","",IF(E149&gt;=Parâmetros!$D$7,5,IF(E149&gt;=Parâmetros!$D$6,4,IF(E149&gt;=Parâmetros!$D$5,3,IF(E149&gt;=Parâmetros!$D$4,2,1)))))</f>
        <v/>
      </c>
      <c r="M149" s="8" t="str">
        <f aca="false">IF(F149="","",IF(F149&gt;=Parâmetros!$E$7,5,IF(F149&gt;=Parâmetros!$E$6,4,IF(F149&gt;=Parâmetros!$E$5,3,IF(F149&gt;=Parâmetros!$E$4,2,1)))))</f>
        <v/>
      </c>
      <c r="N149" s="8" t="str">
        <f aca="false">IF(G149="","",IF(G149&gt;=Parâmetros!$F$7,5,IF(G149&gt;=Parâmetros!$F$6,4,IF(G149&gt;=Parâmetros!$F$5,3,IF(G149&gt;=Parâmetros!$F$4,2,1)))))</f>
        <v/>
      </c>
      <c r="O149" s="8" t="str">
        <f aca="false">IF(H149="","",IF(H149="Sim",IF(I149&gt;=Parâmetros!$G$4,5,4),IF(I149&gt;=Parâmetros!$G$4,3,2)))</f>
        <v/>
      </c>
      <c r="P149" s="8" t="str">
        <f aca="false">IF(J149="","",J149)</f>
        <v/>
      </c>
      <c r="Q149" s="8" t="str">
        <f aca="false">IF(COUNT(K149:P149)&lt;6,"",ROUND(100*(K149*Parâmetros!$B$12+L149*Parâmetros!$B$13+M149*Parâmetros!$B$14+N149*Parâmetros!$B$15+O149*Parâmetros!$B$16+P149*Parâmetros!$B$17)/(5*SUM(Parâmetros!$B$12:$B$17)),0))</f>
        <v/>
      </c>
      <c r="R149" s="9" t="str">
        <f aca="false">IF(Q149="","",IF(Q149&gt;=Parâmetros!$B$20,"Modelar já",IF(Q149&gt;=Parâmetros!$B$21,"Monitorar","Descartar")))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7"/>
      <c r="J150" s="6"/>
      <c r="K150" s="8" t="str">
        <f aca="false">IF(D150="","",IF(D150&gt;=Parâmetros!$C$7,5,IF(D150&gt;=Parâmetros!$C$6,4,IF(D150&gt;=Parâmetros!$C$5,3,IF(D150&gt;=Parâmetros!$C$4,2,1)))))</f>
        <v/>
      </c>
      <c r="L150" s="8" t="str">
        <f aca="false">IF(E150="","",IF(E150&gt;=Parâmetros!$D$7,5,IF(E150&gt;=Parâmetros!$D$6,4,IF(E150&gt;=Parâmetros!$D$5,3,IF(E150&gt;=Parâmetros!$D$4,2,1)))))</f>
        <v/>
      </c>
      <c r="M150" s="8" t="str">
        <f aca="false">IF(F150="","",IF(F150&gt;=Parâmetros!$E$7,5,IF(F150&gt;=Parâmetros!$E$6,4,IF(F150&gt;=Parâmetros!$E$5,3,IF(F150&gt;=Parâmetros!$E$4,2,1)))))</f>
        <v/>
      </c>
      <c r="N150" s="8" t="str">
        <f aca="false">IF(G150="","",IF(G150&gt;=Parâmetros!$F$7,5,IF(G150&gt;=Parâmetros!$F$6,4,IF(G150&gt;=Parâmetros!$F$5,3,IF(G150&gt;=Parâmetros!$F$4,2,1)))))</f>
        <v/>
      </c>
      <c r="O150" s="8" t="str">
        <f aca="false">IF(H150="","",IF(H150="Sim",IF(I150&gt;=Parâmetros!$G$4,5,4),IF(I150&gt;=Parâmetros!$G$4,3,2)))</f>
        <v/>
      </c>
      <c r="P150" s="8" t="str">
        <f aca="false">IF(J150="","",J150)</f>
        <v/>
      </c>
      <c r="Q150" s="8" t="str">
        <f aca="false">IF(COUNT(K150:P150)&lt;6,"",ROUND(100*(K150*Parâmetros!$B$12+L150*Parâmetros!$B$13+M150*Parâmetros!$B$14+N150*Parâmetros!$B$15+O150*Parâmetros!$B$16+P150*Parâmetros!$B$17)/(5*SUM(Parâmetros!$B$12:$B$17)),0))</f>
        <v/>
      </c>
      <c r="R150" s="9" t="str">
        <f aca="false">IF(Q150="","",IF(Q150&gt;=Parâmetros!$B$20,"Modelar já",IF(Q150&gt;=Parâmetros!$B$21,"Monitorar","Descartar")))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7"/>
      <c r="J151" s="6"/>
      <c r="K151" s="8" t="str">
        <f aca="false">IF(D151="","",IF(D151&gt;=Parâmetros!$C$7,5,IF(D151&gt;=Parâmetros!$C$6,4,IF(D151&gt;=Parâmetros!$C$5,3,IF(D151&gt;=Parâmetros!$C$4,2,1)))))</f>
        <v/>
      </c>
      <c r="L151" s="8" t="str">
        <f aca="false">IF(E151="","",IF(E151&gt;=Parâmetros!$D$7,5,IF(E151&gt;=Parâmetros!$D$6,4,IF(E151&gt;=Parâmetros!$D$5,3,IF(E151&gt;=Parâmetros!$D$4,2,1)))))</f>
        <v/>
      </c>
      <c r="M151" s="8" t="str">
        <f aca="false">IF(F151="","",IF(F151&gt;=Parâmetros!$E$7,5,IF(F151&gt;=Parâmetros!$E$6,4,IF(F151&gt;=Parâmetros!$E$5,3,IF(F151&gt;=Parâmetros!$E$4,2,1)))))</f>
        <v/>
      </c>
      <c r="N151" s="8" t="str">
        <f aca="false">IF(G151="","",IF(G151&gt;=Parâmetros!$F$7,5,IF(G151&gt;=Parâmetros!$F$6,4,IF(G151&gt;=Parâmetros!$F$5,3,IF(G151&gt;=Parâmetros!$F$4,2,1)))))</f>
        <v/>
      </c>
      <c r="O151" s="8" t="str">
        <f aca="false">IF(H151="","",IF(H151="Sim",IF(I151&gt;=Parâmetros!$G$4,5,4),IF(I151&gt;=Parâmetros!$G$4,3,2)))</f>
        <v/>
      </c>
      <c r="P151" s="8" t="str">
        <f aca="false">IF(J151="","",J151)</f>
        <v/>
      </c>
      <c r="Q151" s="8" t="str">
        <f aca="false">IF(COUNT(K151:P151)&lt;6,"",ROUND(100*(K151*Parâmetros!$B$12+L151*Parâmetros!$B$13+M151*Parâmetros!$B$14+N151*Parâmetros!$B$15+O151*Parâmetros!$B$16+P151*Parâmetros!$B$17)/(5*SUM(Parâmetros!$B$12:$B$17)),0))</f>
        <v/>
      </c>
      <c r="R151" s="9" t="str">
        <f aca="false">IF(Q151="","",IF(Q151&gt;=Parâmetros!$B$20,"Modelar já",IF(Q151&gt;=Parâmetros!$B$21,"Monitorar","Descartar")))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7"/>
      <c r="J152" s="6"/>
      <c r="K152" s="8" t="str">
        <f aca="false">IF(D152="","",IF(D152&gt;=Parâmetros!$C$7,5,IF(D152&gt;=Parâmetros!$C$6,4,IF(D152&gt;=Parâmetros!$C$5,3,IF(D152&gt;=Parâmetros!$C$4,2,1)))))</f>
        <v/>
      </c>
      <c r="L152" s="8" t="str">
        <f aca="false">IF(E152="","",IF(E152&gt;=Parâmetros!$D$7,5,IF(E152&gt;=Parâmetros!$D$6,4,IF(E152&gt;=Parâmetros!$D$5,3,IF(E152&gt;=Parâmetros!$D$4,2,1)))))</f>
        <v/>
      </c>
      <c r="M152" s="8" t="str">
        <f aca="false">IF(F152="","",IF(F152&gt;=Parâmetros!$E$7,5,IF(F152&gt;=Parâmetros!$E$6,4,IF(F152&gt;=Parâmetros!$E$5,3,IF(F152&gt;=Parâmetros!$E$4,2,1)))))</f>
        <v/>
      </c>
      <c r="N152" s="8" t="str">
        <f aca="false">IF(G152="","",IF(G152&gt;=Parâmetros!$F$7,5,IF(G152&gt;=Parâmetros!$F$6,4,IF(G152&gt;=Parâmetros!$F$5,3,IF(G152&gt;=Parâmetros!$F$4,2,1)))))</f>
        <v/>
      </c>
      <c r="O152" s="8" t="str">
        <f aca="false">IF(H152="","",IF(H152="Sim",IF(I152&gt;=Parâmetros!$G$4,5,4),IF(I152&gt;=Parâmetros!$G$4,3,2)))</f>
        <v/>
      </c>
      <c r="P152" s="8" t="str">
        <f aca="false">IF(J152="","",J152)</f>
        <v/>
      </c>
      <c r="Q152" s="8" t="str">
        <f aca="false">IF(COUNT(K152:P152)&lt;6,"",ROUND(100*(K152*Parâmetros!$B$12+L152*Parâmetros!$B$13+M152*Parâmetros!$B$14+N152*Parâmetros!$B$15+O152*Parâmetros!$B$16+P152*Parâmetros!$B$17)/(5*SUM(Parâmetros!$B$12:$B$17)),0))</f>
        <v/>
      </c>
      <c r="R152" s="9" t="str">
        <f aca="false">IF(Q152="","",IF(Q152&gt;=Parâmetros!$B$20,"Modelar já",IF(Q152&gt;=Parâmetros!$B$21,"Monitorar","Descartar")))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7"/>
      <c r="J153" s="6"/>
      <c r="K153" s="8" t="str">
        <f aca="false">IF(D153="","",IF(D153&gt;=Parâmetros!$C$7,5,IF(D153&gt;=Parâmetros!$C$6,4,IF(D153&gt;=Parâmetros!$C$5,3,IF(D153&gt;=Parâmetros!$C$4,2,1)))))</f>
        <v/>
      </c>
      <c r="L153" s="8" t="str">
        <f aca="false">IF(E153="","",IF(E153&gt;=Parâmetros!$D$7,5,IF(E153&gt;=Parâmetros!$D$6,4,IF(E153&gt;=Parâmetros!$D$5,3,IF(E153&gt;=Parâmetros!$D$4,2,1)))))</f>
        <v/>
      </c>
      <c r="M153" s="8" t="str">
        <f aca="false">IF(F153="","",IF(F153&gt;=Parâmetros!$E$7,5,IF(F153&gt;=Parâmetros!$E$6,4,IF(F153&gt;=Parâmetros!$E$5,3,IF(F153&gt;=Parâmetros!$E$4,2,1)))))</f>
        <v/>
      </c>
      <c r="N153" s="8" t="str">
        <f aca="false">IF(G153="","",IF(G153&gt;=Parâmetros!$F$7,5,IF(G153&gt;=Parâmetros!$F$6,4,IF(G153&gt;=Parâmetros!$F$5,3,IF(G153&gt;=Parâmetros!$F$4,2,1)))))</f>
        <v/>
      </c>
      <c r="O153" s="8" t="str">
        <f aca="false">IF(H153="","",IF(H153="Sim",IF(I153&gt;=Parâmetros!$G$4,5,4),IF(I153&gt;=Parâmetros!$G$4,3,2)))</f>
        <v/>
      </c>
      <c r="P153" s="8" t="str">
        <f aca="false">IF(J153="","",J153)</f>
        <v/>
      </c>
      <c r="Q153" s="8" t="str">
        <f aca="false">IF(COUNT(K153:P153)&lt;6,"",ROUND(100*(K153*Parâmetros!$B$12+L153*Parâmetros!$B$13+M153*Parâmetros!$B$14+N153*Parâmetros!$B$15+O153*Parâmetros!$B$16+P153*Parâmetros!$B$17)/(5*SUM(Parâmetros!$B$12:$B$17)),0))</f>
        <v/>
      </c>
      <c r="R153" s="9" t="str">
        <f aca="false">IF(Q153="","",IF(Q153&gt;=Parâmetros!$B$20,"Modelar já",IF(Q153&gt;=Parâmetros!$B$21,"Monitorar","Descartar")))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7"/>
      <c r="J154" s="6"/>
      <c r="K154" s="8" t="str">
        <f aca="false">IF(D154="","",IF(D154&gt;=Parâmetros!$C$7,5,IF(D154&gt;=Parâmetros!$C$6,4,IF(D154&gt;=Parâmetros!$C$5,3,IF(D154&gt;=Parâmetros!$C$4,2,1)))))</f>
        <v/>
      </c>
      <c r="L154" s="8" t="str">
        <f aca="false">IF(E154="","",IF(E154&gt;=Parâmetros!$D$7,5,IF(E154&gt;=Parâmetros!$D$6,4,IF(E154&gt;=Parâmetros!$D$5,3,IF(E154&gt;=Parâmetros!$D$4,2,1)))))</f>
        <v/>
      </c>
      <c r="M154" s="8" t="str">
        <f aca="false">IF(F154="","",IF(F154&gt;=Parâmetros!$E$7,5,IF(F154&gt;=Parâmetros!$E$6,4,IF(F154&gt;=Parâmetros!$E$5,3,IF(F154&gt;=Parâmetros!$E$4,2,1)))))</f>
        <v/>
      </c>
      <c r="N154" s="8" t="str">
        <f aca="false">IF(G154="","",IF(G154&gt;=Parâmetros!$F$7,5,IF(G154&gt;=Parâmetros!$F$6,4,IF(G154&gt;=Parâmetros!$F$5,3,IF(G154&gt;=Parâmetros!$F$4,2,1)))))</f>
        <v/>
      </c>
      <c r="O154" s="8" t="str">
        <f aca="false">IF(H154="","",IF(H154="Sim",IF(I154&gt;=Parâmetros!$G$4,5,4),IF(I154&gt;=Parâmetros!$G$4,3,2)))</f>
        <v/>
      </c>
      <c r="P154" s="8" t="str">
        <f aca="false">IF(J154="","",J154)</f>
        <v/>
      </c>
      <c r="Q154" s="8" t="str">
        <f aca="false">IF(COUNT(K154:P154)&lt;6,"",ROUND(100*(K154*Parâmetros!$B$12+L154*Parâmetros!$B$13+M154*Parâmetros!$B$14+N154*Parâmetros!$B$15+O154*Parâmetros!$B$16+P154*Parâmetros!$B$17)/(5*SUM(Parâmetros!$B$12:$B$17)),0))</f>
        <v/>
      </c>
      <c r="R154" s="9" t="str">
        <f aca="false">IF(Q154="","",IF(Q154&gt;=Parâmetros!$B$20,"Modelar já",IF(Q154&gt;=Parâmetros!$B$21,"Monitorar","Descartar")))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7"/>
      <c r="J155" s="6"/>
      <c r="K155" s="8" t="str">
        <f aca="false">IF(D155="","",IF(D155&gt;=Parâmetros!$C$7,5,IF(D155&gt;=Parâmetros!$C$6,4,IF(D155&gt;=Parâmetros!$C$5,3,IF(D155&gt;=Parâmetros!$C$4,2,1)))))</f>
        <v/>
      </c>
      <c r="L155" s="8" t="str">
        <f aca="false">IF(E155="","",IF(E155&gt;=Parâmetros!$D$7,5,IF(E155&gt;=Parâmetros!$D$6,4,IF(E155&gt;=Parâmetros!$D$5,3,IF(E155&gt;=Parâmetros!$D$4,2,1)))))</f>
        <v/>
      </c>
      <c r="M155" s="8" t="str">
        <f aca="false">IF(F155="","",IF(F155&gt;=Parâmetros!$E$7,5,IF(F155&gt;=Parâmetros!$E$6,4,IF(F155&gt;=Parâmetros!$E$5,3,IF(F155&gt;=Parâmetros!$E$4,2,1)))))</f>
        <v/>
      </c>
      <c r="N155" s="8" t="str">
        <f aca="false">IF(G155="","",IF(G155&gt;=Parâmetros!$F$7,5,IF(G155&gt;=Parâmetros!$F$6,4,IF(G155&gt;=Parâmetros!$F$5,3,IF(G155&gt;=Parâmetros!$F$4,2,1)))))</f>
        <v/>
      </c>
      <c r="O155" s="8" t="str">
        <f aca="false">IF(H155="","",IF(H155="Sim",IF(I155&gt;=Parâmetros!$G$4,5,4),IF(I155&gt;=Parâmetros!$G$4,3,2)))</f>
        <v/>
      </c>
      <c r="P155" s="8" t="str">
        <f aca="false">IF(J155="","",J155)</f>
        <v/>
      </c>
      <c r="Q155" s="8" t="str">
        <f aca="false">IF(COUNT(K155:P155)&lt;6,"",ROUND(100*(K155*Parâmetros!$B$12+L155*Parâmetros!$B$13+M155*Parâmetros!$B$14+N155*Parâmetros!$B$15+O155*Parâmetros!$B$16+P155*Parâmetros!$B$17)/(5*SUM(Parâmetros!$B$12:$B$17)),0))</f>
        <v/>
      </c>
      <c r="R155" s="9" t="str">
        <f aca="false">IF(Q155="","",IF(Q155&gt;=Parâmetros!$B$20,"Modelar já",IF(Q155&gt;=Parâmetros!$B$21,"Monitorar","Descartar")))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7"/>
      <c r="J156" s="6"/>
      <c r="K156" s="8" t="str">
        <f aca="false">IF(D156="","",IF(D156&gt;=Parâmetros!$C$7,5,IF(D156&gt;=Parâmetros!$C$6,4,IF(D156&gt;=Parâmetros!$C$5,3,IF(D156&gt;=Parâmetros!$C$4,2,1)))))</f>
        <v/>
      </c>
      <c r="L156" s="8" t="str">
        <f aca="false">IF(E156="","",IF(E156&gt;=Parâmetros!$D$7,5,IF(E156&gt;=Parâmetros!$D$6,4,IF(E156&gt;=Parâmetros!$D$5,3,IF(E156&gt;=Parâmetros!$D$4,2,1)))))</f>
        <v/>
      </c>
      <c r="M156" s="8" t="str">
        <f aca="false">IF(F156="","",IF(F156&gt;=Parâmetros!$E$7,5,IF(F156&gt;=Parâmetros!$E$6,4,IF(F156&gt;=Parâmetros!$E$5,3,IF(F156&gt;=Parâmetros!$E$4,2,1)))))</f>
        <v/>
      </c>
      <c r="N156" s="8" t="str">
        <f aca="false">IF(G156="","",IF(G156&gt;=Parâmetros!$F$7,5,IF(G156&gt;=Parâmetros!$F$6,4,IF(G156&gt;=Parâmetros!$F$5,3,IF(G156&gt;=Parâmetros!$F$4,2,1)))))</f>
        <v/>
      </c>
      <c r="O156" s="8" t="str">
        <f aca="false">IF(H156="","",IF(H156="Sim",IF(I156&gt;=Parâmetros!$G$4,5,4),IF(I156&gt;=Parâmetros!$G$4,3,2)))</f>
        <v/>
      </c>
      <c r="P156" s="8" t="str">
        <f aca="false">IF(J156="","",J156)</f>
        <v/>
      </c>
      <c r="Q156" s="8" t="str">
        <f aca="false">IF(COUNT(K156:P156)&lt;6,"",ROUND(100*(K156*Parâmetros!$B$12+L156*Parâmetros!$B$13+M156*Parâmetros!$B$14+N156*Parâmetros!$B$15+O156*Parâmetros!$B$16+P156*Parâmetros!$B$17)/(5*SUM(Parâmetros!$B$12:$B$17)),0))</f>
        <v/>
      </c>
      <c r="R156" s="9" t="str">
        <f aca="false">IF(Q156="","",IF(Q156&gt;=Parâmetros!$B$20,"Modelar já",IF(Q156&gt;=Parâmetros!$B$21,"Monitorar","Descartar")))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7"/>
      <c r="J157" s="6"/>
      <c r="K157" s="8" t="str">
        <f aca="false">IF(D157="","",IF(D157&gt;=Parâmetros!$C$7,5,IF(D157&gt;=Parâmetros!$C$6,4,IF(D157&gt;=Parâmetros!$C$5,3,IF(D157&gt;=Parâmetros!$C$4,2,1)))))</f>
        <v/>
      </c>
      <c r="L157" s="8" t="str">
        <f aca="false">IF(E157="","",IF(E157&gt;=Parâmetros!$D$7,5,IF(E157&gt;=Parâmetros!$D$6,4,IF(E157&gt;=Parâmetros!$D$5,3,IF(E157&gt;=Parâmetros!$D$4,2,1)))))</f>
        <v/>
      </c>
      <c r="M157" s="8" t="str">
        <f aca="false">IF(F157="","",IF(F157&gt;=Parâmetros!$E$7,5,IF(F157&gt;=Parâmetros!$E$6,4,IF(F157&gt;=Parâmetros!$E$5,3,IF(F157&gt;=Parâmetros!$E$4,2,1)))))</f>
        <v/>
      </c>
      <c r="N157" s="8" t="str">
        <f aca="false">IF(G157="","",IF(G157&gt;=Parâmetros!$F$7,5,IF(G157&gt;=Parâmetros!$F$6,4,IF(G157&gt;=Parâmetros!$F$5,3,IF(G157&gt;=Parâmetros!$F$4,2,1)))))</f>
        <v/>
      </c>
      <c r="O157" s="8" t="str">
        <f aca="false">IF(H157="","",IF(H157="Sim",IF(I157&gt;=Parâmetros!$G$4,5,4),IF(I157&gt;=Parâmetros!$G$4,3,2)))</f>
        <v/>
      </c>
      <c r="P157" s="8" t="str">
        <f aca="false">IF(J157="","",J157)</f>
        <v/>
      </c>
      <c r="Q157" s="8" t="str">
        <f aca="false">IF(COUNT(K157:P157)&lt;6,"",ROUND(100*(K157*Parâmetros!$B$12+L157*Parâmetros!$B$13+M157*Parâmetros!$B$14+N157*Parâmetros!$B$15+O157*Parâmetros!$B$16+P157*Parâmetros!$B$17)/(5*SUM(Parâmetros!$B$12:$B$17)),0))</f>
        <v/>
      </c>
      <c r="R157" s="9" t="str">
        <f aca="false">IF(Q157="","",IF(Q157&gt;=Parâmetros!$B$20,"Modelar já",IF(Q157&gt;=Parâmetros!$B$21,"Monitorar","Descartar")))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7"/>
      <c r="J158" s="6"/>
      <c r="K158" s="8" t="str">
        <f aca="false">IF(D158="","",IF(D158&gt;=Parâmetros!$C$7,5,IF(D158&gt;=Parâmetros!$C$6,4,IF(D158&gt;=Parâmetros!$C$5,3,IF(D158&gt;=Parâmetros!$C$4,2,1)))))</f>
        <v/>
      </c>
      <c r="L158" s="8" t="str">
        <f aca="false">IF(E158="","",IF(E158&gt;=Parâmetros!$D$7,5,IF(E158&gt;=Parâmetros!$D$6,4,IF(E158&gt;=Parâmetros!$D$5,3,IF(E158&gt;=Parâmetros!$D$4,2,1)))))</f>
        <v/>
      </c>
      <c r="M158" s="8" t="str">
        <f aca="false">IF(F158="","",IF(F158&gt;=Parâmetros!$E$7,5,IF(F158&gt;=Parâmetros!$E$6,4,IF(F158&gt;=Parâmetros!$E$5,3,IF(F158&gt;=Parâmetros!$E$4,2,1)))))</f>
        <v/>
      </c>
      <c r="N158" s="8" t="str">
        <f aca="false">IF(G158="","",IF(G158&gt;=Parâmetros!$F$7,5,IF(G158&gt;=Parâmetros!$F$6,4,IF(G158&gt;=Parâmetros!$F$5,3,IF(G158&gt;=Parâmetros!$F$4,2,1)))))</f>
        <v/>
      </c>
      <c r="O158" s="8" t="str">
        <f aca="false">IF(H158="","",IF(H158="Sim",IF(I158&gt;=Parâmetros!$G$4,5,4),IF(I158&gt;=Parâmetros!$G$4,3,2)))</f>
        <v/>
      </c>
      <c r="P158" s="8" t="str">
        <f aca="false">IF(J158="","",J158)</f>
        <v/>
      </c>
      <c r="Q158" s="8" t="str">
        <f aca="false">IF(COUNT(K158:P158)&lt;6,"",ROUND(100*(K158*Parâmetros!$B$12+L158*Parâmetros!$B$13+M158*Parâmetros!$B$14+N158*Parâmetros!$B$15+O158*Parâmetros!$B$16+P158*Parâmetros!$B$17)/(5*SUM(Parâmetros!$B$12:$B$17)),0))</f>
        <v/>
      </c>
      <c r="R158" s="9" t="str">
        <f aca="false">IF(Q158="","",IF(Q158&gt;=Parâmetros!$B$20,"Modelar já",IF(Q158&gt;=Parâmetros!$B$21,"Monitorar","Descartar")))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7"/>
      <c r="J159" s="6"/>
      <c r="K159" s="8" t="str">
        <f aca="false">IF(D159="","",IF(D159&gt;=Parâmetros!$C$7,5,IF(D159&gt;=Parâmetros!$C$6,4,IF(D159&gt;=Parâmetros!$C$5,3,IF(D159&gt;=Parâmetros!$C$4,2,1)))))</f>
        <v/>
      </c>
      <c r="L159" s="8" t="str">
        <f aca="false">IF(E159="","",IF(E159&gt;=Parâmetros!$D$7,5,IF(E159&gt;=Parâmetros!$D$6,4,IF(E159&gt;=Parâmetros!$D$5,3,IF(E159&gt;=Parâmetros!$D$4,2,1)))))</f>
        <v/>
      </c>
      <c r="M159" s="8" t="str">
        <f aca="false">IF(F159="","",IF(F159&gt;=Parâmetros!$E$7,5,IF(F159&gt;=Parâmetros!$E$6,4,IF(F159&gt;=Parâmetros!$E$5,3,IF(F159&gt;=Parâmetros!$E$4,2,1)))))</f>
        <v/>
      </c>
      <c r="N159" s="8" t="str">
        <f aca="false">IF(G159="","",IF(G159&gt;=Parâmetros!$F$7,5,IF(G159&gt;=Parâmetros!$F$6,4,IF(G159&gt;=Parâmetros!$F$5,3,IF(G159&gt;=Parâmetros!$F$4,2,1)))))</f>
        <v/>
      </c>
      <c r="O159" s="8" t="str">
        <f aca="false">IF(H159="","",IF(H159="Sim",IF(I159&gt;=Parâmetros!$G$4,5,4),IF(I159&gt;=Parâmetros!$G$4,3,2)))</f>
        <v/>
      </c>
      <c r="P159" s="8" t="str">
        <f aca="false">IF(J159="","",J159)</f>
        <v/>
      </c>
      <c r="Q159" s="8" t="str">
        <f aca="false">IF(COUNT(K159:P159)&lt;6,"",ROUND(100*(K159*Parâmetros!$B$12+L159*Parâmetros!$B$13+M159*Parâmetros!$B$14+N159*Parâmetros!$B$15+O159*Parâmetros!$B$16+P159*Parâmetros!$B$17)/(5*SUM(Parâmetros!$B$12:$B$17)),0))</f>
        <v/>
      </c>
      <c r="R159" s="9" t="str">
        <f aca="false">IF(Q159="","",IF(Q159&gt;=Parâmetros!$B$20,"Modelar já",IF(Q159&gt;=Parâmetros!$B$21,"Monitorar","Descartar")))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7"/>
      <c r="J160" s="6"/>
      <c r="K160" s="8" t="str">
        <f aca="false">IF(D160="","",IF(D160&gt;=Parâmetros!$C$7,5,IF(D160&gt;=Parâmetros!$C$6,4,IF(D160&gt;=Parâmetros!$C$5,3,IF(D160&gt;=Parâmetros!$C$4,2,1)))))</f>
        <v/>
      </c>
      <c r="L160" s="8" t="str">
        <f aca="false">IF(E160="","",IF(E160&gt;=Parâmetros!$D$7,5,IF(E160&gt;=Parâmetros!$D$6,4,IF(E160&gt;=Parâmetros!$D$5,3,IF(E160&gt;=Parâmetros!$D$4,2,1)))))</f>
        <v/>
      </c>
      <c r="M160" s="8" t="str">
        <f aca="false">IF(F160="","",IF(F160&gt;=Parâmetros!$E$7,5,IF(F160&gt;=Parâmetros!$E$6,4,IF(F160&gt;=Parâmetros!$E$5,3,IF(F160&gt;=Parâmetros!$E$4,2,1)))))</f>
        <v/>
      </c>
      <c r="N160" s="8" t="str">
        <f aca="false">IF(G160="","",IF(G160&gt;=Parâmetros!$F$7,5,IF(G160&gt;=Parâmetros!$F$6,4,IF(G160&gt;=Parâmetros!$F$5,3,IF(G160&gt;=Parâmetros!$F$4,2,1)))))</f>
        <v/>
      </c>
      <c r="O160" s="8" t="str">
        <f aca="false">IF(H160="","",IF(H160="Sim",IF(I160&gt;=Parâmetros!$G$4,5,4),IF(I160&gt;=Parâmetros!$G$4,3,2)))</f>
        <v/>
      </c>
      <c r="P160" s="8" t="str">
        <f aca="false">IF(J160="","",J160)</f>
        <v/>
      </c>
      <c r="Q160" s="8" t="str">
        <f aca="false">IF(COUNT(K160:P160)&lt;6,"",ROUND(100*(K160*Parâmetros!$B$12+L160*Parâmetros!$B$13+M160*Parâmetros!$B$14+N160*Parâmetros!$B$15+O160*Parâmetros!$B$16+P160*Parâmetros!$B$17)/(5*SUM(Parâmetros!$B$12:$B$17)),0))</f>
        <v/>
      </c>
      <c r="R160" s="9" t="str">
        <f aca="false">IF(Q160="","",IF(Q160&gt;=Parâmetros!$B$20,"Modelar já",IF(Q160&gt;=Parâmetros!$B$21,"Monitorar","Descartar")))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7"/>
      <c r="J161" s="6"/>
      <c r="K161" s="8" t="str">
        <f aca="false">IF(D161="","",IF(D161&gt;=Parâmetros!$C$7,5,IF(D161&gt;=Parâmetros!$C$6,4,IF(D161&gt;=Parâmetros!$C$5,3,IF(D161&gt;=Parâmetros!$C$4,2,1)))))</f>
        <v/>
      </c>
      <c r="L161" s="8" t="str">
        <f aca="false">IF(E161="","",IF(E161&gt;=Parâmetros!$D$7,5,IF(E161&gt;=Parâmetros!$D$6,4,IF(E161&gt;=Parâmetros!$D$5,3,IF(E161&gt;=Parâmetros!$D$4,2,1)))))</f>
        <v/>
      </c>
      <c r="M161" s="8" t="str">
        <f aca="false">IF(F161="","",IF(F161&gt;=Parâmetros!$E$7,5,IF(F161&gt;=Parâmetros!$E$6,4,IF(F161&gt;=Parâmetros!$E$5,3,IF(F161&gt;=Parâmetros!$E$4,2,1)))))</f>
        <v/>
      </c>
      <c r="N161" s="8" t="str">
        <f aca="false">IF(G161="","",IF(G161&gt;=Parâmetros!$F$7,5,IF(G161&gt;=Parâmetros!$F$6,4,IF(G161&gt;=Parâmetros!$F$5,3,IF(G161&gt;=Parâmetros!$F$4,2,1)))))</f>
        <v/>
      </c>
      <c r="O161" s="8" t="str">
        <f aca="false">IF(H161="","",IF(H161="Sim",IF(I161&gt;=Parâmetros!$G$4,5,4),IF(I161&gt;=Parâmetros!$G$4,3,2)))</f>
        <v/>
      </c>
      <c r="P161" s="8" t="str">
        <f aca="false">IF(J161="","",J161)</f>
        <v/>
      </c>
      <c r="Q161" s="8" t="str">
        <f aca="false">IF(COUNT(K161:P161)&lt;6,"",ROUND(100*(K161*Parâmetros!$B$12+L161*Parâmetros!$B$13+M161*Parâmetros!$B$14+N161*Parâmetros!$B$15+O161*Parâmetros!$B$16+P161*Parâmetros!$B$17)/(5*SUM(Parâmetros!$B$12:$B$17)),0))</f>
        <v/>
      </c>
      <c r="R161" s="9" t="str">
        <f aca="false">IF(Q161="","",IF(Q161&gt;=Parâmetros!$B$20,"Modelar já",IF(Q161&gt;=Parâmetros!$B$21,"Monitorar","Descartar")))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7"/>
      <c r="J162" s="6"/>
      <c r="K162" s="8" t="str">
        <f aca="false">IF(D162="","",IF(D162&gt;=Parâmetros!$C$7,5,IF(D162&gt;=Parâmetros!$C$6,4,IF(D162&gt;=Parâmetros!$C$5,3,IF(D162&gt;=Parâmetros!$C$4,2,1)))))</f>
        <v/>
      </c>
      <c r="L162" s="8" t="str">
        <f aca="false">IF(E162="","",IF(E162&gt;=Parâmetros!$D$7,5,IF(E162&gt;=Parâmetros!$D$6,4,IF(E162&gt;=Parâmetros!$D$5,3,IF(E162&gt;=Parâmetros!$D$4,2,1)))))</f>
        <v/>
      </c>
      <c r="M162" s="8" t="str">
        <f aca="false">IF(F162="","",IF(F162&gt;=Parâmetros!$E$7,5,IF(F162&gt;=Parâmetros!$E$6,4,IF(F162&gt;=Parâmetros!$E$5,3,IF(F162&gt;=Parâmetros!$E$4,2,1)))))</f>
        <v/>
      </c>
      <c r="N162" s="8" t="str">
        <f aca="false">IF(G162="","",IF(G162&gt;=Parâmetros!$F$7,5,IF(G162&gt;=Parâmetros!$F$6,4,IF(G162&gt;=Parâmetros!$F$5,3,IF(G162&gt;=Parâmetros!$F$4,2,1)))))</f>
        <v/>
      </c>
      <c r="O162" s="8" t="str">
        <f aca="false">IF(H162="","",IF(H162="Sim",IF(I162&gt;=Parâmetros!$G$4,5,4),IF(I162&gt;=Parâmetros!$G$4,3,2)))</f>
        <v/>
      </c>
      <c r="P162" s="8" t="str">
        <f aca="false">IF(J162="","",J162)</f>
        <v/>
      </c>
      <c r="Q162" s="8" t="str">
        <f aca="false">IF(COUNT(K162:P162)&lt;6,"",ROUND(100*(K162*Parâmetros!$B$12+L162*Parâmetros!$B$13+M162*Parâmetros!$B$14+N162*Parâmetros!$B$15+O162*Parâmetros!$B$16+P162*Parâmetros!$B$17)/(5*SUM(Parâmetros!$B$12:$B$17)),0))</f>
        <v/>
      </c>
      <c r="R162" s="9" t="str">
        <f aca="false">IF(Q162="","",IF(Q162&gt;=Parâmetros!$B$20,"Modelar já",IF(Q162&gt;=Parâmetros!$B$21,"Monitorar","Descartar")))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7"/>
      <c r="J163" s="6"/>
      <c r="K163" s="8" t="str">
        <f aca="false">IF(D163="","",IF(D163&gt;=Parâmetros!$C$7,5,IF(D163&gt;=Parâmetros!$C$6,4,IF(D163&gt;=Parâmetros!$C$5,3,IF(D163&gt;=Parâmetros!$C$4,2,1)))))</f>
        <v/>
      </c>
      <c r="L163" s="8" t="str">
        <f aca="false">IF(E163="","",IF(E163&gt;=Parâmetros!$D$7,5,IF(E163&gt;=Parâmetros!$D$6,4,IF(E163&gt;=Parâmetros!$D$5,3,IF(E163&gt;=Parâmetros!$D$4,2,1)))))</f>
        <v/>
      </c>
      <c r="M163" s="8" t="str">
        <f aca="false">IF(F163="","",IF(F163&gt;=Parâmetros!$E$7,5,IF(F163&gt;=Parâmetros!$E$6,4,IF(F163&gt;=Parâmetros!$E$5,3,IF(F163&gt;=Parâmetros!$E$4,2,1)))))</f>
        <v/>
      </c>
      <c r="N163" s="8" t="str">
        <f aca="false">IF(G163="","",IF(G163&gt;=Parâmetros!$F$7,5,IF(G163&gt;=Parâmetros!$F$6,4,IF(G163&gt;=Parâmetros!$F$5,3,IF(G163&gt;=Parâmetros!$F$4,2,1)))))</f>
        <v/>
      </c>
      <c r="O163" s="8" t="str">
        <f aca="false">IF(H163="","",IF(H163="Sim",IF(I163&gt;=Parâmetros!$G$4,5,4),IF(I163&gt;=Parâmetros!$G$4,3,2)))</f>
        <v/>
      </c>
      <c r="P163" s="8" t="str">
        <f aca="false">IF(J163="","",J163)</f>
        <v/>
      </c>
      <c r="Q163" s="8" t="str">
        <f aca="false">IF(COUNT(K163:P163)&lt;6,"",ROUND(100*(K163*Parâmetros!$B$12+L163*Parâmetros!$B$13+M163*Parâmetros!$B$14+N163*Parâmetros!$B$15+O163*Parâmetros!$B$16+P163*Parâmetros!$B$17)/(5*SUM(Parâmetros!$B$12:$B$17)),0))</f>
        <v/>
      </c>
      <c r="R163" s="9" t="str">
        <f aca="false">IF(Q163="","",IF(Q163&gt;=Parâmetros!$B$20,"Modelar já",IF(Q163&gt;=Parâmetros!$B$21,"Monitorar","Descartar")))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7"/>
      <c r="J164" s="6"/>
      <c r="K164" s="8" t="str">
        <f aca="false">IF(D164="","",IF(D164&gt;=Parâmetros!$C$7,5,IF(D164&gt;=Parâmetros!$C$6,4,IF(D164&gt;=Parâmetros!$C$5,3,IF(D164&gt;=Parâmetros!$C$4,2,1)))))</f>
        <v/>
      </c>
      <c r="L164" s="8" t="str">
        <f aca="false">IF(E164="","",IF(E164&gt;=Parâmetros!$D$7,5,IF(E164&gt;=Parâmetros!$D$6,4,IF(E164&gt;=Parâmetros!$D$5,3,IF(E164&gt;=Parâmetros!$D$4,2,1)))))</f>
        <v/>
      </c>
      <c r="M164" s="8" t="str">
        <f aca="false">IF(F164="","",IF(F164&gt;=Parâmetros!$E$7,5,IF(F164&gt;=Parâmetros!$E$6,4,IF(F164&gt;=Parâmetros!$E$5,3,IF(F164&gt;=Parâmetros!$E$4,2,1)))))</f>
        <v/>
      </c>
      <c r="N164" s="8" t="str">
        <f aca="false">IF(G164="","",IF(G164&gt;=Parâmetros!$F$7,5,IF(G164&gt;=Parâmetros!$F$6,4,IF(G164&gt;=Parâmetros!$F$5,3,IF(G164&gt;=Parâmetros!$F$4,2,1)))))</f>
        <v/>
      </c>
      <c r="O164" s="8" t="str">
        <f aca="false">IF(H164="","",IF(H164="Sim",IF(I164&gt;=Parâmetros!$G$4,5,4),IF(I164&gt;=Parâmetros!$G$4,3,2)))</f>
        <v/>
      </c>
      <c r="P164" s="8" t="str">
        <f aca="false">IF(J164="","",J164)</f>
        <v/>
      </c>
      <c r="Q164" s="8" t="str">
        <f aca="false">IF(COUNT(K164:P164)&lt;6,"",ROUND(100*(K164*Parâmetros!$B$12+L164*Parâmetros!$B$13+M164*Parâmetros!$B$14+N164*Parâmetros!$B$15+O164*Parâmetros!$B$16+P164*Parâmetros!$B$17)/(5*SUM(Parâmetros!$B$12:$B$17)),0))</f>
        <v/>
      </c>
      <c r="R164" s="9" t="str">
        <f aca="false">IF(Q164="","",IF(Q164&gt;=Parâmetros!$B$20,"Modelar já",IF(Q164&gt;=Parâmetros!$B$21,"Monitorar","Descartar")))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7"/>
      <c r="J165" s="6"/>
      <c r="K165" s="8" t="str">
        <f aca="false">IF(D165="","",IF(D165&gt;=Parâmetros!$C$7,5,IF(D165&gt;=Parâmetros!$C$6,4,IF(D165&gt;=Parâmetros!$C$5,3,IF(D165&gt;=Parâmetros!$C$4,2,1)))))</f>
        <v/>
      </c>
      <c r="L165" s="8" t="str">
        <f aca="false">IF(E165="","",IF(E165&gt;=Parâmetros!$D$7,5,IF(E165&gt;=Parâmetros!$D$6,4,IF(E165&gt;=Parâmetros!$D$5,3,IF(E165&gt;=Parâmetros!$D$4,2,1)))))</f>
        <v/>
      </c>
      <c r="M165" s="8" t="str">
        <f aca="false">IF(F165="","",IF(F165&gt;=Parâmetros!$E$7,5,IF(F165&gt;=Parâmetros!$E$6,4,IF(F165&gt;=Parâmetros!$E$5,3,IF(F165&gt;=Parâmetros!$E$4,2,1)))))</f>
        <v/>
      </c>
      <c r="N165" s="8" t="str">
        <f aca="false">IF(G165="","",IF(G165&gt;=Parâmetros!$F$7,5,IF(G165&gt;=Parâmetros!$F$6,4,IF(G165&gt;=Parâmetros!$F$5,3,IF(G165&gt;=Parâmetros!$F$4,2,1)))))</f>
        <v/>
      </c>
      <c r="O165" s="8" t="str">
        <f aca="false">IF(H165="","",IF(H165="Sim",IF(I165&gt;=Parâmetros!$G$4,5,4),IF(I165&gt;=Parâmetros!$G$4,3,2)))</f>
        <v/>
      </c>
      <c r="P165" s="8" t="str">
        <f aca="false">IF(J165="","",J165)</f>
        <v/>
      </c>
      <c r="Q165" s="8" t="str">
        <f aca="false">IF(COUNT(K165:P165)&lt;6,"",ROUND(100*(K165*Parâmetros!$B$12+L165*Parâmetros!$B$13+M165*Parâmetros!$B$14+N165*Parâmetros!$B$15+O165*Parâmetros!$B$16+P165*Parâmetros!$B$17)/(5*SUM(Parâmetros!$B$12:$B$17)),0))</f>
        <v/>
      </c>
      <c r="R165" s="9" t="str">
        <f aca="false">IF(Q165="","",IF(Q165&gt;=Parâmetros!$B$20,"Modelar já",IF(Q165&gt;=Parâmetros!$B$21,"Monitorar","Descartar")))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7"/>
      <c r="J166" s="6"/>
      <c r="K166" s="8" t="str">
        <f aca="false">IF(D166="","",IF(D166&gt;=Parâmetros!$C$7,5,IF(D166&gt;=Parâmetros!$C$6,4,IF(D166&gt;=Parâmetros!$C$5,3,IF(D166&gt;=Parâmetros!$C$4,2,1)))))</f>
        <v/>
      </c>
      <c r="L166" s="8" t="str">
        <f aca="false">IF(E166="","",IF(E166&gt;=Parâmetros!$D$7,5,IF(E166&gt;=Parâmetros!$D$6,4,IF(E166&gt;=Parâmetros!$D$5,3,IF(E166&gt;=Parâmetros!$D$4,2,1)))))</f>
        <v/>
      </c>
      <c r="M166" s="8" t="str">
        <f aca="false">IF(F166="","",IF(F166&gt;=Parâmetros!$E$7,5,IF(F166&gt;=Parâmetros!$E$6,4,IF(F166&gt;=Parâmetros!$E$5,3,IF(F166&gt;=Parâmetros!$E$4,2,1)))))</f>
        <v/>
      </c>
      <c r="N166" s="8" t="str">
        <f aca="false">IF(G166="","",IF(G166&gt;=Parâmetros!$F$7,5,IF(G166&gt;=Parâmetros!$F$6,4,IF(G166&gt;=Parâmetros!$F$5,3,IF(G166&gt;=Parâmetros!$F$4,2,1)))))</f>
        <v/>
      </c>
      <c r="O166" s="8" t="str">
        <f aca="false">IF(H166="","",IF(H166="Sim",IF(I166&gt;=Parâmetros!$G$4,5,4),IF(I166&gt;=Parâmetros!$G$4,3,2)))</f>
        <v/>
      </c>
      <c r="P166" s="8" t="str">
        <f aca="false">IF(J166="","",J166)</f>
        <v/>
      </c>
      <c r="Q166" s="8" t="str">
        <f aca="false">IF(COUNT(K166:P166)&lt;6,"",ROUND(100*(K166*Parâmetros!$B$12+L166*Parâmetros!$B$13+M166*Parâmetros!$B$14+N166*Parâmetros!$B$15+O166*Parâmetros!$B$16+P166*Parâmetros!$B$17)/(5*SUM(Parâmetros!$B$12:$B$17)),0))</f>
        <v/>
      </c>
      <c r="R166" s="9" t="str">
        <f aca="false">IF(Q166="","",IF(Q166&gt;=Parâmetros!$B$20,"Modelar já",IF(Q166&gt;=Parâmetros!$B$21,"Monitorar","Descartar")))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7"/>
      <c r="J167" s="6"/>
      <c r="K167" s="8" t="str">
        <f aca="false">IF(D167="","",IF(D167&gt;=Parâmetros!$C$7,5,IF(D167&gt;=Parâmetros!$C$6,4,IF(D167&gt;=Parâmetros!$C$5,3,IF(D167&gt;=Parâmetros!$C$4,2,1)))))</f>
        <v/>
      </c>
      <c r="L167" s="8" t="str">
        <f aca="false">IF(E167="","",IF(E167&gt;=Parâmetros!$D$7,5,IF(E167&gt;=Parâmetros!$D$6,4,IF(E167&gt;=Parâmetros!$D$5,3,IF(E167&gt;=Parâmetros!$D$4,2,1)))))</f>
        <v/>
      </c>
      <c r="M167" s="8" t="str">
        <f aca="false">IF(F167="","",IF(F167&gt;=Parâmetros!$E$7,5,IF(F167&gt;=Parâmetros!$E$6,4,IF(F167&gt;=Parâmetros!$E$5,3,IF(F167&gt;=Parâmetros!$E$4,2,1)))))</f>
        <v/>
      </c>
      <c r="N167" s="8" t="str">
        <f aca="false">IF(G167="","",IF(G167&gt;=Parâmetros!$F$7,5,IF(G167&gt;=Parâmetros!$F$6,4,IF(G167&gt;=Parâmetros!$F$5,3,IF(G167&gt;=Parâmetros!$F$4,2,1)))))</f>
        <v/>
      </c>
      <c r="O167" s="8" t="str">
        <f aca="false">IF(H167="","",IF(H167="Sim",IF(I167&gt;=Parâmetros!$G$4,5,4),IF(I167&gt;=Parâmetros!$G$4,3,2)))</f>
        <v/>
      </c>
      <c r="P167" s="8" t="str">
        <f aca="false">IF(J167="","",J167)</f>
        <v/>
      </c>
      <c r="Q167" s="8" t="str">
        <f aca="false">IF(COUNT(K167:P167)&lt;6,"",ROUND(100*(K167*Parâmetros!$B$12+L167*Parâmetros!$B$13+M167*Parâmetros!$B$14+N167*Parâmetros!$B$15+O167*Parâmetros!$B$16+P167*Parâmetros!$B$17)/(5*SUM(Parâmetros!$B$12:$B$17)),0))</f>
        <v/>
      </c>
      <c r="R167" s="9" t="str">
        <f aca="false">IF(Q167="","",IF(Q167&gt;=Parâmetros!$B$20,"Modelar já",IF(Q167&gt;=Parâmetros!$B$21,"Monitorar","Descartar")))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7"/>
      <c r="J168" s="6"/>
      <c r="K168" s="8" t="str">
        <f aca="false">IF(D168="","",IF(D168&gt;=Parâmetros!$C$7,5,IF(D168&gt;=Parâmetros!$C$6,4,IF(D168&gt;=Parâmetros!$C$5,3,IF(D168&gt;=Parâmetros!$C$4,2,1)))))</f>
        <v/>
      </c>
      <c r="L168" s="8" t="str">
        <f aca="false">IF(E168="","",IF(E168&gt;=Parâmetros!$D$7,5,IF(E168&gt;=Parâmetros!$D$6,4,IF(E168&gt;=Parâmetros!$D$5,3,IF(E168&gt;=Parâmetros!$D$4,2,1)))))</f>
        <v/>
      </c>
      <c r="M168" s="8" t="str">
        <f aca="false">IF(F168="","",IF(F168&gt;=Parâmetros!$E$7,5,IF(F168&gt;=Parâmetros!$E$6,4,IF(F168&gt;=Parâmetros!$E$5,3,IF(F168&gt;=Parâmetros!$E$4,2,1)))))</f>
        <v/>
      </c>
      <c r="N168" s="8" t="str">
        <f aca="false">IF(G168="","",IF(G168&gt;=Parâmetros!$F$7,5,IF(G168&gt;=Parâmetros!$F$6,4,IF(G168&gt;=Parâmetros!$F$5,3,IF(G168&gt;=Parâmetros!$F$4,2,1)))))</f>
        <v/>
      </c>
      <c r="O168" s="8" t="str">
        <f aca="false">IF(H168="","",IF(H168="Sim",IF(I168&gt;=Parâmetros!$G$4,5,4),IF(I168&gt;=Parâmetros!$G$4,3,2)))</f>
        <v/>
      </c>
      <c r="P168" s="8" t="str">
        <f aca="false">IF(J168="","",J168)</f>
        <v/>
      </c>
      <c r="Q168" s="8" t="str">
        <f aca="false">IF(COUNT(K168:P168)&lt;6,"",ROUND(100*(K168*Parâmetros!$B$12+L168*Parâmetros!$B$13+M168*Parâmetros!$B$14+N168*Parâmetros!$B$15+O168*Parâmetros!$B$16+P168*Parâmetros!$B$17)/(5*SUM(Parâmetros!$B$12:$B$17)),0))</f>
        <v/>
      </c>
      <c r="R168" s="9" t="str">
        <f aca="false">IF(Q168="","",IF(Q168&gt;=Parâmetros!$B$20,"Modelar já",IF(Q168&gt;=Parâmetros!$B$21,"Monitorar","Descartar")))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7"/>
      <c r="J169" s="6"/>
      <c r="K169" s="8" t="str">
        <f aca="false">IF(D169="","",IF(D169&gt;=Parâmetros!$C$7,5,IF(D169&gt;=Parâmetros!$C$6,4,IF(D169&gt;=Parâmetros!$C$5,3,IF(D169&gt;=Parâmetros!$C$4,2,1)))))</f>
        <v/>
      </c>
      <c r="L169" s="8" t="str">
        <f aca="false">IF(E169="","",IF(E169&gt;=Parâmetros!$D$7,5,IF(E169&gt;=Parâmetros!$D$6,4,IF(E169&gt;=Parâmetros!$D$5,3,IF(E169&gt;=Parâmetros!$D$4,2,1)))))</f>
        <v/>
      </c>
      <c r="M169" s="8" t="str">
        <f aca="false">IF(F169="","",IF(F169&gt;=Parâmetros!$E$7,5,IF(F169&gt;=Parâmetros!$E$6,4,IF(F169&gt;=Parâmetros!$E$5,3,IF(F169&gt;=Parâmetros!$E$4,2,1)))))</f>
        <v/>
      </c>
      <c r="N169" s="8" t="str">
        <f aca="false">IF(G169="","",IF(G169&gt;=Parâmetros!$F$7,5,IF(G169&gt;=Parâmetros!$F$6,4,IF(G169&gt;=Parâmetros!$F$5,3,IF(G169&gt;=Parâmetros!$F$4,2,1)))))</f>
        <v/>
      </c>
      <c r="O169" s="8" t="str">
        <f aca="false">IF(H169="","",IF(H169="Sim",IF(I169&gt;=Parâmetros!$G$4,5,4),IF(I169&gt;=Parâmetros!$G$4,3,2)))</f>
        <v/>
      </c>
      <c r="P169" s="8" t="str">
        <f aca="false">IF(J169="","",J169)</f>
        <v/>
      </c>
      <c r="Q169" s="8" t="str">
        <f aca="false">IF(COUNT(K169:P169)&lt;6,"",ROUND(100*(K169*Parâmetros!$B$12+L169*Parâmetros!$B$13+M169*Parâmetros!$B$14+N169*Parâmetros!$B$15+O169*Parâmetros!$B$16+P169*Parâmetros!$B$17)/(5*SUM(Parâmetros!$B$12:$B$17)),0))</f>
        <v/>
      </c>
      <c r="R169" s="9" t="str">
        <f aca="false">IF(Q169="","",IF(Q169&gt;=Parâmetros!$B$20,"Modelar já",IF(Q169&gt;=Parâmetros!$B$21,"Monitorar","Descartar")))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7"/>
      <c r="J170" s="6"/>
      <c r="K170" s="8" t="str">
        <f aca="false">IF(D170="","",IF(D170&gt;=Parâmetros!$C$7,5,IF(D170&gt;=Parâmetros!$C$6,4,IF(D170&gt;=Parâmetros!$C$5,3,IF(D170&gt;=Parâmetros!$C$4,2,1)))))</f>
        <v/>
      </c>
      <c r="L170" s="8" t="str">
        <f aca="false">IF(E170="","",IF(E170&gt;=Parâmetros!$D$7,5,IF(E170&gt;=Parâmetros!$D$6,4,IF(E170&gt;=Parâmetros!$D$5,3,IF(E170&gt;=Parâmetros!$D$4,2,1)))))</f>
        <v/>
      </c>
      <c r="M170" s="8" t="str">
        <f aca="false">IF(F170="","",IF(F170&gt;=Parâmetros!$E$7,5,IF(F170&gt;=Parâmetros!$E$6,4,IF(F170&gt;=Parâmetros!$E$5,3,IF(F170&gt;=Parâmetros!$E$4,2,1)))))</f>
        <v/>
      </c>
      <c r="N170" s="8" t="str">
        <f aca="false">IF(G170="","",IF(G170&gt;=Parâmetros!$F$7,5,IF(G170&gt;=Parâmetros!$F$6,4,IF(G170&gt;=Parâmetros!$F$5,3,IF(G170&gt;=Parâmetros!$F$4,2,1)))))</f>
        <v/>
      </c>
      <c r="O170" s="8" t="str">
        <f aca="false">IF(H170="","",IF(H170="Sim",IF(I170&gt;=Parâmetros!$G$4,5,4),IF(I170&gt;=Parâmetros!$G$4,3,2)))</f>
        <v/>
      </c>
      <c r="P170" s="8" t="str">
        <f aca="false">IF(J170="","",J170)</f>
        <v/>
      </c>
      <c r="Q170" s="8" t="str">
        <f aca="false">IF(COUNT(K170:P170)&lt;6,"",ROUND(100*(K170*Parâmetros!$B$12+L170*Parâmetros!$B$13+M170*Parâmetros!$B$14+N170*Parâmetros!$B$15+O170*Parâmetros!$B$16+P170*Parâmetros!$B$17)/(5*SUM(Parâmetros!$B$12:$B$17)),0))</f>
        <v/>
      </c>
      <c r="R170" s="9" t="str">
        <f aca="false">IF(Q170="","",IF(Q170&gt;=Parâmetros!$B$20,"Modelar já",IF(Q170&gt;=Parâmetros!$B$21,"Monitorar","Descartar")))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7"/>
      <c r="J171" s="6"/>
      <c r="K171" s="8" t="str">
        <f aca="false">IF(D171="","",IF(D171&gt;=Parâmetros!$C$7,5,IF(D171&gt;=Parâmetros!$C$6,4,IF(D171&gt;=Parâmetros!$C$5,3,IF(D171&gt;=Parâmetros!$C$4,2,1)))))</f>
        <v/>
      </c>
      <c r="L171" s="8" t="str">
        <f aca="false">IF(E171="","",IF(E171&gt;=Parâmetros!$D$7,5,IF(E171&gt;=Parâmetros!$D$6,4,IF(E171&gt;=Parâmetros!$D$5,3,IF(E171&gt;=Parâmetros!$D$4,2,1)))))</f>
        <v/>
      </c>
      <c r="M171" s="8" t="str">
        <f aca="false">IF(F171="","",IF(F171&gt;=Parâmetros!$E$7,5,IF(F171&gt;=Parâmetros!$E$6,4,IF(F171&gt;=Parâmetros!$E$5,3,IF(F171&gt;=Parâmetros!$E$4,2,1)))))</f>
        <v/>
      </c>
      <c r="N171" s="8" t="str">
        <f aca="false">IF(G171="","",IF(G171&gt;=Parâmetros!$F$7,5,IF(G171&gt;=Parâmetros!$F$6,4,IF(G171&gt;=Parâmetros!$F$5,3,IF(G171&gt;=Parâmetros!$F$4,2,1)))))</f>
        <v/>
      </c>
      <c r="O171" s="8" t="str">
        <f aca="false">IF(H171="","",IF(H171="Sim",IF(I171&gt;=Parâmetros!$G$4,5,4),IF(I171&gt;=Parâmetros!$G$4,3,2)))</f>
        <v/>
      </c>
      <c r="P171" s="8" t="str">
        <f aca="false">IF(J171="","",J171)</f>
        <v/>
      </c>
      <c r="Q171" s="8" t="str">
        <f aca="false">IF(COUNT(K171:P171)&lt;6,"",ROUND(100*(K171*Parâmetros!$B$12+L171*Parâmetros!$B$13+M171*Parâmetros!$B$14+N171*Parâmetros!$B$15+O171*Parâmetros!$B$16+P171*Parâmetros!$B$17)/(5*SUM(Parâmetros!$B$12:$B$17)),0))</f>
        <v/>
      </c>
      <c r="R171" s="9" t="str">
        <f aca="false">IF(Q171="","",IF(Q171&gt;=Parâmetros!$B$20,"Modelar já",IF(Q171&gt;=Parâmetros!$B$21,"Monitorar","Descartar")))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7"/>
      <c r="J172" s="6"/>
      <c r="K172" s="8" t="str">
        <f aca="false">IF(D172="","",IF(D172&gt;=Parâmetros!$C$7,5,IF(D172&gt;=Parâmetros!$C$6,4,IF(D172&gt;=Parâmetros!$C$5,3,IF(D172&gt;=Parâmetros!$C$4,2,1)))))</f>
        <v/>
      </c>
      <c r="L172" s="8" t="str">
        <f aca="false">IF(E172="","",IF(E172&gt;=Parâmetros!$D$7,5,IF(E172&gt;=Parâmetros!$D$6,4,IF(E172&gt;=Parâmetros!$D$5,3,IF(E172&gt;=Parâmetros!$D$4,2,1)))))</f>
        <v/>
      </c>
      <c r="M172" s="8" t="str">
        <f aca="false">IF(F172="","",IF(F172&gt;=Parâmetros!$E$7,5,IF(F172&gt;=Parâmetros!$E$6,4,IF(F172&gt;=Parâmetros!$E$5,3,IF(F172&gt;=Parâmetros!$E$4,2,1)))))</f>
        <v/>
      </c>
      <c r="N172" s="8" t="str">
        <f aca="false">IF(G172="","",IF(G172&gt;=Parâmetros!$F$7,5,IF(G172&gt;=Parâmetros!$F$6,4,IF(G172&gt;=Parâmetros!$F$5,3,IF(G172&gt;=Parâmetros!$F$4,2,1)))))</f>
        <v/>
      </c>
      <c r="O172" s="8" t="str">
        <f aca="false">IF(H172="","",IF(H172="Sim",IF(I172&gt;=Parâmetros!$G$4,5,4),IF(I172&gt;=Parâmetros!$G$4,3,2)))</f>
        <v/>
      </c>
      <c r="P172" s="8" t="str">
        <f aca="false">IF(J172="","",J172)</f>
        <v/>
      </c>
      <c r="Q172" s="8" t="str">
        <f aca="false">IF(COUNT(K172:P172)&lt;6,"",ROUND(100*(K172*Parâmetros!$B$12+L172*Parâmetros!$B$13+M172*Parâmetros!$B$14+N172*Parâmetros!$B$15+O172*Parâmetros!$B$16+P172*Parâmetros!$B$17)/(5*SUM(Parâmetros!$B$12:$B$17)),0))</f>
        <v/>
      </c>
      <c r="R172" s="9" t="str">
        <f aca="false">IF(Q172="","",IF(Q172&gt;=Parâmetros!$B$20,"Modelar já",IF(Q172&gt;=Parâmetros!$B$21,"Monitorar","Descartar")))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7"/>
      <c r="J173" s="6"/>
      <c r="K173" s="8" t="str">
        <f aca="false">IF(D173="","",IF(D173&gt;=Parâmetros!$C$7,5,IF(D173&gt;=Parâmetros!$C$6,4,IF(D173&gt;=Parâmetros!$C$5,3,IF(D173&gt;=Parâmetros!$C$4,2,1)))))</f>
        <v/>
      </c>
      <c r="L173" s="8" t="str">
        <f aca="false">IF(E173="","",IF(E173&gt;=Parâmetros!$D$7,5,IF(E173&gt;=Parâmetros!$D$6,4,IF(E173&gt;=Parâmetros!$D$5,3,IF(E173&gt;=Parâmetros!$D$4,2,1)))))</f>
        <v/>
      </c>
      <c r="M173" s="8" t="str">
        <f aca="false">IF(F173="","",IF(F173&gt;=Parâmetros!$E$7,5,IF(F173&gt;=Parâmetros!$E$6,4,IF(F173&gt;=Parâmetros!$E$5,3,IF(F173&gt;=Parâmetros!$E$4,2,1)))))</f>
        <v/>
      </c>
      <c r="N173" s="8" t="str">
        <f aca="false">IF(G173="","",IF(G173&gt;=Parâmetros!$F$7,5,IF(G173&gt;=Parâmetros!$F$6,4,IF(G173&gt;=Parâmetros!$F$5,3,IF(G173&gt;=Parâmetros!$F$4,2,1)))))</f>
        <v/>
      </c>
      <c r="O173" s="8" t="str">
        <f aca="false">IF(H173="","",IF(H173="Sim",IF(I173&gt;=Parâmetros!$G$4,5,4),IF(I173&gt;=Parâmetros!$G$4,3,2)))</f>
        <v/>
      </c>
      <c r="P173" s="8" t="str">
        <f aca="false">IF(J173="","",J173)</f>
        <v/>
      </c>
      <c r="Q173" s="8" t="str">
        <f aca="false">IF(COUNT(K173:P173)&lt;6,"",ROUND(100*(K173*Parâmetros!$B$12+L173*Parâmetros!$B$13+M173*Parâmetros!$B$14+N173*Parâmetros!$B$15+O173*Parâmetros!$B$16+P173*Parâmetros!$B$17)/(5*SUM(Parâmetros!$B$12:$B$17)),0))</f>
        <v/>
      </c>
      <c r="R173" s="9" t="str">
        <f aca="false">IF(Q173="","",IF(Q173&gt;=Parâmetros!$B$20,"Modelar já",IF(Q173&gt;=Parâmetros!$B$21,"Monitorar","Descartar")))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7"/>
      <c r="J174" s="6"/>
      <c r="K174" s="8" t="str">
        <f aca="false">IF(D174="","",IF(D174&gt;=Parâmetros!$C$7,5,IF(D174&gt;=Parâmetros!$C$6,4,IF(D174&gt;=Parâmetros!$C$5,3,IF(D174&gt;=Parâmetros!$C$4,2,1)))))</f>
        <v/>
      </c>
      <c r="L174" s="8" t="str">
        <f aca="false">IF(E174="","",IF(E174&gt;=Parâmetros!$D$7,5,IF(E174&gt;=Parâmetros!$D$6,4,IF(E174&gt;=Parâmetros!$D$5,3,IF(E174&gt;=Parâmetros!$D$4,2,1)))))</f>
        <v/>
      </c>
      <c r="M174" s="8" t="str">
        <f aca="false">IF(F174="","",IF(F174&gt;=Parâmetros!$E$7,5,IF(F174&gt;=Parâmetros!$E$6,4,IF(F174&gt;=Parâmetros!$E$5,3,IF(F174&gt;=Parâmetros!$E$4,2,1)))))</f>
        <v/>
      </c>
      <c r="N174" s="8" t="str">
        <f aca="false">IF(G174="","",IF(G174&gt;=Parâmetros!$F$7,5,IF(G174&gt;=Parâmetros!$F$6,4,IF(G174&gt;=Parâmetros!$F$5,3,IF(G174&gt;=Parâmetros!$F$4,2,1)))))</f>
        <v/>
      </c>
      <c r="O174" s="8" t="str">
        <f aca="false">IF(H174="","",IF(H174="Sim",IF(I174&gt;=Parâmetros!$G$4,5,4),IF(I174&gt;=Parâmetros!$G$4,3,2)))</f>
        <v/>
      </c>
      <c r="P174" s="8" t="str">
        <f aca="false">IF(J174="","",J174)</f>
        <v/>
      </c>
      <c r="Q174" s="8" t="str">
        <f aca="false">IF(COUNT(K174:P174)&lt;6,"",ROUND(100*(K174*Parâmetros!$B$12+L174*Parâmetros!$B$13+M174*Parâmetros!$B$14+N174*Parâmetros!$B$15+O174*Parâmetros!$B$16+P174*Parâmetros!$B$17)/(5*SUM(Parâmetros!$B$12:$B$17)),0))</f>
        <v/>
      </c>
      <c r="R174" s="9" t="str">
        <f aca="false">IF(Q174="","",IF(Q174&gt;=Parâmetros!$B$20,"Modelar já",IF(Q174&gt;=Parâmetros!$B$21,"Monitorar","Descartar")))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7"/>
      <c r="J175" s="6"/>
      <c r="K175" s="8" t="str">
        <f aca="false">IF(D175="","",IF(D175&gt;=Parâmetros!$C$7,5,IF(D175&gt;=Parâmetros!$C$6,4,IF(D175&gt;=Parâmetros!$C$5,3,IF(D175&gt;=Parâmetros!$C$4,2,1)))))</f>
        <v/>
      </c>
      <c r="L175" s="8" t="str">
        <f aca="false">IF(E175="","",IF(E175&gt;=Parâmetros!$D$7,5,IF(E175&gt;=Parâmetros!$D$6,4,IF(E175&gt;=Parâmetros!$D$5,3,IF(E175&gt;=Parâmetros!$D$4,2,1)))))</f>
        <v/>
      </c>
      <c r="M175" s="8" t="str">
        <f aca="false">IF(F175="","",IF(F175&gt;=Parâmetros!$E$7,5,IF(F175&gt;=Parâmetros!$E$6,4,IF(F175&gt;=Parâmetros!$E$5,3,IF(F175&gt;=Parâmetros!$E$4,2,1)))))</f>
        <v/>
      </c>
      <c r="N175" s="8" t="str">
        <f aca="false">IF(G175="","",IF(G175&gt;=Parâmetros!$F$7,5,IF(G175&gt;=Parâmetros!$F$6,4,IF(G175&gt;=Parâmetros!$F$5,3,IF(G175&gt;=Parâmetros!$F$4,2,1)))))</f>
        <v/>
      </c>
      <c r="O175" s="8" t="str">
        <f aca="false">IF(H175="","",IF(H175="Sim",IF(I175&gt;=Parâmetros!$G$4,5,4),IF(I175&gt;=Parâmetros!$G$4,3,2)))</f>
        <v/>
      </c>
      <c r="P175" s="8" t="str">
        <f aca="false">IF(J175="","",J175)</f>
        <v/>
      </c>
      <c r="Q175" s="8" t="str">
        <f aca="false">IF(COUNT(K175:P175)&lt;6,"",ROUND(100*(K175*Parâmetros!$B$12+L175*Parâmetros!$B$13+M175*Parâmetros!$B$14+N175*Parâmetros!$B$15+O175*Parâmetros!$B$16+P175*Parâmetros!$B$17)/(5*SUM(Parâmetros!$B$12:$B$17)),0))</f>
        <v/>
      </c>
      <c r="R175" s="9" t="str">
        <f aca="false">IF(Q175="","",IF(Q175&gt;=Parâmetros!$B$20,"Modelar já",IF(Q175&gt;=Parâmetros!$B$21,"Monitorar","Descartar")))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7"/>
      <c r="J176" s="6"/>
      <c r="K176" s="8" t="str">
        <f aca="false">IF(D176="","",IF(D176&gt;=Parâmetros!$C$7,5,IF(D176&gt;=Parâmetros!$C$6,4,IF(D176&gt;=Parâmetros!$C$5,3,IF(D176&gt;=Parâmetros!$C$4,2,1)))))</f>
        <v/>
      </c>
      <c r="L176" s="8" t="str">
        <f aca="false">IF(E176="","",IF(E176&gt;=Parâmetros!$D$7,5,IF(E176&gt;=Parâmetros!$D$6,4,IF(E176&gt;=Parâmetros!$D$5,3,IF(E176&gt;=Parâmetros!$D$4,2,1)))))</f>
        <v/>
      </c>
      <c r="M176" s="8" t="str">
        <f aca="false">IF(F176="","",IF(F176&gt;=Parâmetros!$E$7,5,IF(F176&gt;=Parâmetros!$E$6,4,IF(F176&gt;=Parâmetros!$E$5,3,IF(F176&gt;=Parâmetros!$E$4,2,1)))))</f>
        <v/>
      </c>
      <c r="N176" s="8" t="str">
        <f aca="false">IF(G176="","",IF(G176&gt;=Parâmetros!$F$7,5,IF(G176&gt;=Parâmetros!$F$6,4,IF(G176&gt;=Parâmetros!$F$5,3,IF(G176&gt;=Parâmetros!$F$4,2,1)))))</f>
        <v/>
      </c>
      <c r="O176" s="8" t="str">
        <f aca="false">IF(H176="","",IF(H176="Sim",IF(I176&gt;=Parâmetros!$G$4,5,4),IF(I176&gt;=Parâmetros!$G$4,3,2)))</f>
        <v/>
      </c>
      <c r="P176" s="8" t="str">
        <f aca="false">IF(J176="","",J176)</f>
        <v/>
      </c>
      <c r="Q176" s="8" t="str">
        <f aca="false">IF(COUNT(K176:P176)&lt;6,"",ROUND(100*(K176*Parâmetros!$B$12+L176*Parâmetros!$B$13+M176*Parâmetros!$B$14+N176*Parâmetros!$B$15+O176*Parâmetros!$B$16+P176*Parâmetros!$B$17)/(5*SUM(Parâmetros!$B$12:$B$17)),0))</f>
        <v/>
      </c>
      <c r="R176" s="9" t="str">
        <f aca="false">IF(Q176="","",IF(Q176&gt;=Parâmetros!$B$20,"Modelar já",IF(Q176&gt;=Parâmetros!$B$21,"Monitorar","Descartar")))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7"/>
      <c r="J177" s="6"/>
      <c r="K177" s="8" t="str">
        <f aca="false">IF(D177="","",IF(D177&gt;=Parâmetros!$C$7,5,IF(D177&gt;=Parâmetros!$C$6,4,IF(D177&gt;=Parâmetros!$C$5,3,IF(D177&gt;=Parâmetros!$C$4,2,1)))))</f>
        <v/>
      </c>
      <c r="L177" s="8" t="str">
        <f aca="false">IF(E177="","",IF(E177&gt;=Parâmetros!$D$7,5,IF(E177&gt;=Parâmetros!$D$6,4,IF(E177&gt;=Parâmetros!$D$5,3,IF(E177&gt;=Parâmetros!$D$4,2,1)))))</f>
        <v/>
      </c>
      <c r="M177" s="8" t="str">
        <f aca="false">IF(F177="","",IF(F177&gt;=Parâmetros!$E$7,5,IF(F177&gt;=Parâmetros!$E$6,4,IF(F177&gt;=Parâmetros!$E$5,3,IF(F177&gt;=Parâmetros!$E$4,2,1)))))</f>
        <v/>
      </c>
      <c r="N177" s="8" t="str">
        <f aca="false">IF(G177="","",IF(G177&gt;=Parâmetros!$F$7,5,IF(G177&gt;=Parâmetros!$F$6,4,IF(G177&gt;=Parâmetros!$F$5,3,IF(G177&gt;=Parâmetros!$F$4,2,1)))))</f>
        <v/>
      </c>
      <c r="O177" s="8" t="str">
        <f aca="false">IF(H177="","",IF(H177="Sim",IF(I177&gt;=Parâmetros!$G$4,5,4),IF(I177&gt;=Parâmetros!$G$4,3,2)))</f>
        <v/>
      </c>
      <c r="P177" s="8" t="str">
        <f aca="false">IF(J177="","",J177)</f>
        <v/>
      </c>
      <c r="Q177" s="8" t="str">
        <f aca="false">IF(COUNT(K177:P177)&lt;6,"",ROUND(100*(K177*Parâmetros!$B$12+L177*Parâmetros!$B$13+M177*Parâmetros!$B$14+N177*Parâmetros!$B$15+O177*Parâmetros!$B$16+P177*Parâmetros!$B$17)/(5*SUM(Parâmetros!$B$12:$B$17)),0))</f>
        <v/>
      </c>
      <c r="R177" s="9" t="str">
        <f aca="false">IF(Q177="","",IF(Q177&gt;=Parâmetros!$B$20,"Modelar já",IF(Q177&gt;=Parâmetros!$B$21,"Monitorar","Descartar")))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7"/>
      <c r="J178" s="6"/>
      <c r="K178" s="8" t="str">
        <f aca="false">IF(D178="","",IF(D178&gt;=Parâmetros!$C$7,5,IF(D178&gt;=Parâmetros!$C$6,4,IF(D178&gt;=Parâmetros!$C$5,3,IF(D178&gt;=Parâmetros!$C$4,2,1)))))</f>
        <v/>
      </c>
      <c r="L178" s="8" t="str">
        <f aca="false">IF(E178="","",IF(E178&gt;=Parâmetros!$D$7,5,IF(E178&gt;=Parâmetros!$D$6,4,IF(E178&gt;=Parâmetros!$D$5,3,IF(E178&gt;=Parâmetros!$D$4,2,1)))))</f>
        <v/>
      </c>
      <c r="M178" s="8" t="str">
        <f aca="false">IF(F178="","",IF(F178&gt;=Parâmetros!$E$7,5,IF(F178&gt;=Parâmetros!$E$6,4,IF(F178&gt;=Parâmetros!$E$5,3,IF(F178&gt;=Parâmetros!$E$4,2,1)))))</f>
        <v/>
      </c>
      <c r="N178" s="8" t="str">
        <f aca="false">IF(G178="","",IF(G178&gt;=Parâmetros!$F$7,5,IF(G178&gt;=Parâmetros!$F$6,4,IF(G178&gt;=Parâmetros!$F$5,3,IF(G178&gt;=Parâmetros!$F$4,2,1)))))</f>
        <v/>
      </c>
      <c r="O178" s="8" t="str">
        <f aca="false">IF(H178="","",IF(H178="Sim",IF(I178&gt;=Parâmetros!$G$4,5,4),IF(I178&gt;=Parâmetros!$G$4,3,2)))</f>
        <v/>
      </c>
      <c r="P178" s="8" t="str">
        <f aca="false">IF(J178="","",J178)</f>
        <v/>
      </c>
      <c r="Q178" s="8" t="str">
        <f aca="false">IF(COUNT(K178:P178)&lt;6,"",ROUND(100*(K178*Parâmetros!$B$12+L178*Parâmetros!$B$13+M178*Parâmetros!$B$14+N178*Parâmetros!$B$15+O178*Parâmetros!$B$16+P178*Parâmetros!$B$17)/(5*SUM(Parâmetros!$B$12:$B$17)),0))</f>
        <v/>
      </c>
      <c r="R178" s="9" t="str">
        <f aca="false">IF(Q178="","",IF(Q178&gt;=Parâmetros!$B$20,"Modelar já",IF(Q178&gt;=Parâmetros!$B$21,"Monitorar","Descartar")))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7"/>
      <c r="J179" s="6"/>
      <c r="K179" s="8" t="str">
        <f aca="false">IF(D179="","",IF(D179&gt;=Parâmetros!$C$7,5,IF(D179&gt;=Parâmetros!$C$6,4,IF(D179&gt;=Parâmetros!$C$5,3,IF(D179&gt;=Parâmetros!$C$4,2,1)))))</f>
        <v/>
      </c>
      <c r="L179" s="8" t="str">
        <f aca="false">IF(E179="","",IF(E179&gt;=Parâmetros!$D$7,5,IF(E179&gt;=Parâmetros!$D$6,4,IF(E179&gt;=Parâmetros!$D$5,3,IF(E179&gt;=Parâmetros!$D$4,2,1)))))</f>
        <v/>
      </c>
      <c r="M179" s="8" t="str">
        <f aca="false">IF(F179="","",IF(F179&gt;=Parâmetros!$E$7,5,IF(F179&gt;=Parâmetros!$E$6,4,IF(F179&gt;=Parâmetros!$E$5,3,IF(F179&gt;=Parâmetros!$E$4,2,1)))))</f>
        <v/>
      </c>
      <c r="N179" s="8" t="str">
        <f aca="false">IF(G179="","",IF(G179&gt;=Parâmetros!$F$7,5,IF(G179&gt;=Parâmetros!$F$6,4,IF(G179&gt;=Parâmetros!$F$5,3,IF(G179&gt;=Parâmetros!$F$4,2,1)))))</f>
        <v/>
      </c>
      <c r="O179" s="8" t="str">
        <f aca="false">IF(H179="","",IF(H179="Sim",IF(I179&gt;=Parâmetros!$G$4,5,4),IF(I179&gt;=Parâmetros!$G$4,3,2)))</f>
        <v/>
      </c>
      <c r="P179" s="8" t="str">
        <f aca="false">IF(J179="","",J179)</f>
        <v/>
      </c>
      <c r="Q179" s="8" t="str">
        <f aca="false">IF(COUNT(K179:P179)&lt;6,"",ROUND(100*(K179*Parâmetros!$B$12+L179*Parâmetros!$B$13+M179*Parâmetros!$B$14+N179*Parâmetros!$B$15+O179*Parâmetros!$B$16+P179*Parâmetros!$B$17)/(5*SUM(Parâmetros!$B$12:$B$17)),0))</f>
        <v/>
      </c>
      <c r="R179" s="9" t="str">
        <f aca="false">IF(Q179="","",IF(Q179&gt;=Parâmetros!$B$20,"Modelar já",IF(Q179&gt;=Parâmetros!$B$21,"Monitorar","Descartar")))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7"/>
      <c r="J180" s="6"/>
      <c r="K180" s="8" t="str">
        <f aca="false">IF(D180="","",IF(D180&gt;=Parâmetros!$C$7,5,IF(D180&gt;=Parâmetros!$C$6,4,IF(D180&gt;=Parâmetros!$C$5,3,IF(D180&gt;=Parâmetros!$C$4,2,1)))))</f>
        <v/>
      </c>
      <c r="L180" s="8" t="str">
        <f aca="false">IF(E180="","",IF(E180&gt;=Parâmetros!$D$7,5,IF(E180&gt;=Parâmetros!$D$6,4,IF(E180&gt;=Parâmetros!$D$5,3,IF(E180&gt;=Parâmetros!$D$4,2,1)))))</f>
        <v/>
      </c>
      <c r="M180" s="8" t="str">
        <f aca="false">IF(F180="","",IF(F180&gt;=Parâmetros!$E$7,5,IF(F180&gt;=Parâmetros!$E$6,4,IF(F180&gt;=Parâmetros!$E$5,3,IF(F180&gt;=Parâmetros!$E$4,2,1)))))</f>
        <v/>
      </c>
      <c r="N180" s="8" t="str">
        <f aca="false">IF(G180="","",IF(G180&gt;=Parâmetros!$F$7,5,IF(G180&gt;=Parâmetros!$F$6,4,IF(G180&gt;=Parâmetros!$F$5,3,IF(G180&gt;=Parâmetros!$F$4,2,1)))))</f>
        <v/>
      </c>
      <c r="O180" s="8" t="str">
        <f aca="false">IF(H180="","",IF(H180="Sim",IF(I180&gt;=Parâmetros!$G$4,5,4),IF(I180&gt;=Parâmetros!$G$4,3,2)))</f>
        <v/>
      </c>
      <c r="P180" s="8" t="str">
        <f aca="false">IF(J180="","",J180)</f>
        <v/>
      </c>
      <c r="Q180" s="8" t="str">
        <f aca="false">IF(COUNT(K180:P180)&lt;6,"",ROUND(100*(K180*Parâmetros!$B$12+L180*Parâmetros!$B$13+M180*Parâmetros!$B$14+N180*Parâmetros!$B$15+O180*Parâmetros!$B$16+P180*Parâmetros!$B$17)/(5*SUM(Parâmetros!$B$12:$B$17)),0))</f>
        <v/>
      </c>
      <c r="R180" s="9" t="str">
        <f aca="false">IF(Q180="","",IF(Q180&gt;=Parâmetros!$B$20,"Modelar já",IF(Q180&gt;=Parâmetros!$B$21,"Monitorar","Descartar")))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7"/>
      <c r="J181" s="6"/>
      <c r="K181" s="8" t="str">
        <f aca="false">IF(D181="","",IF(D181&gt;=Parâmetros!$C$7,5,IF(D181&gt;=Parâmetros!$C$6,4,IF(D181&gt;=Parâmetros!$C$5,3,IF(D181&gt;=Parâmetros!$C$4,2,1)))))</f>
        <v/>
      </c>
      <c r="L181" s="8" t="str">
        <f aca="false">IF(E181="","",IF(E181&gt;=Parâmetros!$D$7,5,IF(E181&gt;=Parâmetros!$D$6,4,IF(E181&gt;=Parâmetros!$D$5,3,IF(E181&gt;=Parâmetros!$D$4,2,1)))))</f>
        <v/>
      </c>
      <c r="M181" s="8" t="str">
        <f aca="false">IF(F181="","",IF(F181&gt;=Parâmetros!$E$7,5,IF(F181&gt;=Parâmetros!$E$6,4,IF(F181&gt;=Parâmetros!$E$5,3,IF(F181&gt;=Parâmetros!$E$4,2,1)))))</f>
        <v/>
      </c>
      <c r="N181" s="8" t="str">
        <f aca="false">IF(G181="","",IF(G181&gt;=Parâmetros!$F$7,5,IF(G181&gt;=Parâmetros!$F$6,4,IF(G181&gt;=Parâmetros!$F$5,3,IF(G181&gt;=Parâmetros!$F$4,2,1)))))</f>
        <v/>
      </c>
      <c r="O181" s="8" t="str">
        <f aca="false">IF(H181="","",IF(H181="Sim",IF(I181&gt;=Parâmetros!$G$4,5,4),IF(I181&gt;=Parâmetros!$G$4,3,2)))</f>
        <v/>
      </c>
      <c r="P181" s="8" t="str">
        <f aca="false">IF(J181="","",J181)</f>
        <v/>
      </c>
      <c r="Q181" s="8" t="str">
        <f aca="false">IF(COUNT(K181:P181)&lt;6,"",ROUND(100*(K181*Parâmetros!$B$12+L181*Parâmetros!$B$13+M181*Parâmetros!$B$14+N181*Parâmetros!$B$15+O181*Parâmetros!$B$16+P181*Parâmetros!$B$17)/(5*SUM(Parâmetros!$B$12:$B$17)),0))</f>
        <v/>
      </c>
      <c r="R181" s="9" t="str">
        <f aca="false">IF(Q181="","",IF(Q181&gt;=Parâmetros!$B$20,"Modelar já",IF(Q181&gt;=Parâmetros!$B$21,"Monitorar","Descartar")))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7"/>
      <c r="J182" s="6"/>
      <c r="K182" s="8" t="str">
        <f aca="false">IF(D182="","",IF(D182&gt;=Parâmetros!$C$7,5,IF(D182&gt;=Parâmetros!$C$6,4,IF(D182&gt;=Parâmetros!$C$5,3,IF(D182&gt;=Parâmetros!$C$4,2,1)))))</f>
        <v/>
      </c>
      <c r="L182" s="8" t="str">
        <f aca="false">IF(E182="","",IF(E182&gt;=Parâmetros!$D$7,5,IF(E182&gt;=Parâmetros!$D$6,4,IF(E182&gt;=Parâmetros!$D$5,3,IF(E182&gt;=Parâmetros!$D$4,2,1)))))</f>
        <v/>
      </c>
      <c r="M182" s="8" t="str">
        <f aca="false">IF(F182="","",IF(F182&gt;=Parâmetros!$E$7,5,IF(F182&gt;=Parâmetros!$E$6,4,IF(F182&gt;=Parâmetros!$E$5,3,IF(F182&gt;=Parâmetros!$E$4,2,1)))))</f>
        <v/>
      </c>
      <c r="N182" s="8" t="str">
        <f aca="false">IF(G182="","",IF(G182&gt;=Parâmetros!$F$7,5,IF(G182&gt;=Parâmetros!$F$6,4,IF(G182&gt;=Parâmetros!$F$5,3,IF(G182&gt;=Parâmetros!$F$4,2,1)))))</f>
        <v/>
      </c>
      <c r="O182" s="8" t="str">
        <f aca="false">IF(H182="","",IF(H182="Sim",IF(I182&gt;=Parâmetros!$G$4,5,4),IF(I182&gt;=Parâmetros!$G$4,3,2)))</f>
        <v/>
      </c>
      <c r="P182" s="8" t="str">
        <f aca="false">IF(J182="","",J182)</f>
        <v/>
      </c>
      <c r="Q182" s="8" t="str">
        <f aca="false">IF(COUNT(K182:P182)&lt;6,"",ROUND(100*(K182*Parâmetros!$B$12+L182*Parâmetros!$B$13+M182*Parâmetros!$B$14+N182*Parâmetros!$B$15+O182*Parâmetros!$B$16+P182*Parâmetros!$B$17)/(5*SUM(Parâmetros!$B$12:$B$17)),0))</f>
        <v/>
      </c>
      <c r="R182" s="9" t="str">
        <f aca="false">IF(Q182="","",IF(Q182&gt;=Parâmetros!$B$20,"Modelar já",IF(Q182&gt;=Parâmetros!$B$21,"Monitorar","Descartar")))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7"/>
      <c r="J183" s="6"/>
      <c r="K183" s="8" t="str">
        <f aca="false">IF(D183="","",IF(D183&gt;=Parâmetros!$C$7,5,IF(D183&gt;=Parâmetros!$C$6,4,IF(D183&gt;=Parâmetros!$C$5,3,IF(D183&gt;=Parâmetros!$C$4,2,1)))))</f>
        <v/>
      </c>
      <c r="L183" s="8" t="str">
        <f aca="false">IF(E183="","",IF(E183&gt;=Parâmetros!$D$7,5,IF(E183&gt;=Parâmetros!$D$6,4,IF(E183&gt;=Parâmetros!$D$5,3,IF(E183&gt;=Parâmetros!$D$4,2,1)))))</f>
        <v/>
      </c>
      <c r="M183" s="8" t="str">
        <f aca="false">IF(F183="","",IF(F183&gt;=Parâmetros!$E$7,5,IF(F183&gt;=Parâmetros!$E$6,4,IF(F183&gt;=Parâmetros!$E$5,3,IF(F183&gt;=Parâmetros!$E$4,2,1)))))</f>
        <v/>
      </c>
      <c r="N183" s="8" t="str">
        <f aca="false">IF(G183="","",IF(G183&gt;=Parâmetros!$F$7,5,IF(G183&gt;=Parâmetros!$F$6,4,IF(G183&gt;=Parâmetros!$F$5,3,IF(G183&gt;=Parâmetros!$F$4,2,1)))))</f>
        <v/>
      </c>
      <c r="O183" s="8" t="str">
        <f aca="false">IF(H183="","",IF(H183="Sim",IF(I183&gt;=Parâmetros!$G$4,5,4),IF(I183&gt;=Parâmetros!$G$4,3,2)))</f>
        <v/>
      </c>
      <c r="P183" s="8" t="str">
        <f aca="false">IF(J183="","",J183)</f>
        <v/>
      </c>
      <c r="Q183" s="8" t="str">
        <f aca="false">IF(COUNT(K183:P183)&lt;6,"",ROUND(100*(K183*Parâmetros!$B$12+L183*Parâmetros!$B$13+M183*Parâmetros!$B$14+N183*Parâmetros!$B$15+O183*Parâmetros!$B$16+P183*Parâmetros!$B$17)/(5*SUM(Parâmetros!$B$12:$B$17)),0))</f>
        <v/>
      </c>
      <c r="R183" s="9" t="str">
        <f aca="false">IF(Q183="","",IF(Q183&gt;=Parâmetros!$B$20,"Modelar já",IF(Q183&gt;=Parâmetros!$B$21,"Monitorar","Descartar")))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7"/>
      <c r="J184" s="6"/>
      <c r="K184" s="8" t="str">
        <f aca="false">IF(D184="","",IF(D184&gt;=Parâmetros!$C$7,5,IF(D184&gt;=Parâmetros!$C$6,4,IF(D184&gt;=Parâmetros!$C$5,3,IF(D184&gt;=Parâmetros!$C$4,2,1)))))</f>
        <v/>
      </c>
      <c r="L184" s="8" t="str">
        <f aca="false">IF(E184="","",IF(E184&gt;=Parâmetros!$D$7,5,IF(E184&gt;=Parâmetros!$D$6,4,IF(E184&gt;=Parâmetros!$D$5,3,IF(E184&gt;=Parâmetros!$D$4,2,1)))))</f>
        <v/>
      </c>
      <c r="M184" s="8" t="str">
        <f aca="false">IF(F184="","",IF(F184&gt;=Parâmetros!$E$7,5,IF(F184&gt;=Parâmetros!$E$6,4,IF(F184&gt;=Parâmetros!$E$5,3,IF(F184&gt;=Parâmetros!$E$4,2,1)))))</f>
        <v/>
      </c>
      <c r="N184" s="8" t="str">
        <f aca="false">IF(G184="","",IF(G184&gt;=Parâmetros!$F$7,5,IF(G184&gt;=Parâmetros!$F$6,4,IF(G184&gt;=Parâmetros!$F$5,3,IF(G184&gt;=Parâmetros!$F$4,2,1)))))</f>
        <v/>
      </c>
      <c r="O184" s="8" t="str">
        <f aca="false">IF(H184="","",IF(H184="Sim",IF(I184&gt;=Parâmetros!$G$4,5,4),IF(I184&gt;=Parâmetros!$G$4,3,2)))</f>
        <v/>
      </c>
      <c r="P184" s="8" t="str">
        <f aca="false">IF(J184="","",J184)</f>
        <v/>
      </c>
      <c r="Q184" s="8" t="str">
        <f aca="false">IF(COUNT(K184:P184)&lt;6,"",ROUND(100*(K184*Parâmetros!$B$12+L184*Parâmetros!$B$13+M184*Parâmetros!$B$14+N184*Parâmetros!$B$15+O184*Parâmetros!$B$16+P184*Parâmetros!$B$17)/(5*SUM(Parâmetros!$B$12:$B$17)),0))</f>
        <v/>
      </c>
      <c r="R184" s="9" t="str">
        <f aca="false">IF(Q184="","",IF(Q184&gt;=Parâmetros!$B$20,"Modelar já",IF(Q184&gt;=Parâmetros!$B$21,"Monitorar","Descartar")))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7"/>
      <c r="J185" s="6"/>
      <c r="K185" s="8" t="str">
        <f aca="false">IF(D185="","",IF(D185&gt;=Parâmetros!$C$7,5,IF(D185&gt;=Parâmetros!$C$6,4,IF(D185&gt;=Parâmetros!$C$5,3,IF(D185&gt;=Parâmetros!$C$4,2,1)))))</f>
        <v/>
      </c>
      <c r="L185" s="8" t="str">
        <f aca="false">IF(E185="","",IF(E185&gt;=Parâmetros!$D$7,5,IF(E185&gt;=Parâmetros!$D$6,4,IF(E185&gt;=Parâmetros!$D$5,3,IF(E185&gt;=Parâmetros!$D$4,2,1)))))</f>
        <v/>
      </c>
      <c r="M185" s="8" t="str">
        <f aca="false">IF(F185="","",IF(F185&gt;=Parâmetros!$E$7,5,IF(F185&gt;=Parâmetros!$E$6,4,IF(F185&gt;=Parâmetros!$E$5,3,IF(F185&gt;=Parâmetros!$E$4,2,1)))))</f>
        <v/>
      </c>
      <c r="N185" s="8" t="str">
        <f aca="false">IF(G185="","",IF(G185&gt;=Parâmetros!$F$7,5,IF(G185&gt;=Parâmetros!$F$6,4,IF(G185&gt;=Parâmetros!$F$5,3,IF(G185&gt;=Parâmetros!$F$4,2,1)))))</f>
        <v/>
      </c>
      <c r="O185" s="8" t="str">
        <f aca="false">IF(H185="","",IF(H185="Sim",IF(I185&gt;=Parâmetros!$G$4,5,4),IF(I185&gt;=Parâmetros!$G$4,3,2)))</f>
        <v/>
      </c>
      <c r="P185" s="8" t="str">
        <f aca="false">IF(J185="","",J185)</f>
        <v/>
      </c>
      <c r="Q185" s="8" t="str">
        <f aca="false">IF(COUNT(K185:P185)&lt;6,"",ROUND(100*(K185*Parâmetros!$B$12+L185*Parâmetros!$B$13+M185*Parâmetros!$B$14+N185*Parâmetros!$B$15+O185*Parâmetros!$B$16+P185*Parâmetros!$B$17)/(5*SUM(Parâmetros!$B$12:$B$17)),0))</f>
        <v/>
      </c>
      <c r="R185" s="9" t="str">
        <f aca="false">IF(Q185="","",IF(Q185&gt;=Parâmetros!$B$20,"Modelar já",IF(Q185&gt;=Parâmetros!$B$21,"Monitorar","Descartar")))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7"/>
      <c r="J186" s="6"/>
      <c r="K186" s="8" t="str">
        <f aca="false">IF(D186="","",IF(D186&gt;=Parâmetros!$C$7,5,IF(D186&gt;=Parâmetros!$C$6,4,IF(D186&gt;=Parâmetros!$C$5,3,IF(D186&gt;=Parâmetros!$C$4,2,1)))))</f>
        <v/>
      </c>
      <c r="L186" s="8" t="str">
        <f aca="false">IF(E186="","",IF(E186&gt;=Parâmetros!$D$7,5,IF(E186&gt;=Parâmetros!$D$6,4,IF(E186&gt;=Parâmetros!$D$5,3,IF(E186&gt;=Parâmetros!$D$4,2,1)))))</f>
        <v/>
      </c>
      <c r="M186" s="8" t="str">
        <f aca="false">IF(F186="","",IF(F186&gt;=Parâmetros!$E$7,5,IF(F186&gt;=Parâmetros!$E$6,4,IF(F186&gt;=Parâmetros!$E$5,3,IF(F186&gt;=Parâmetros!$E$4,2,1)))))</f>
        <v/>
      </c>
      <c r="N186" s="8" t="str">
        <f aca="false">IF(G186="","",IF(G186&gt;=Parâmetros!$F$7,5,IF(G186&gt;=Parâmetros!$F$6,4,IF(G186&gt;=Parâmetros!$F$5,3,IF(G186&gt;=Parâmetros!$F$4,2,1)))))</f>
        <v/>
      </c>
      <c r="O186" s="8" t="str">
        <f aca="false">IF(H186="","",IF(H186="Sim",IF(I186&gt;=Parâmetros!$G$4,5,4),IF(I186&gt;=Parâmetros!$G$4,3,2)))</f>
        <v/>
      </c>
      <c r="P186" s="8" t="str">
        <f aca="false">IF(J186="","",J186)</f>
        <v/>
      </c>
      <c r="Q186" s="8" t="str">
        <f aca="false">IF(COUNT(K186:P186)&lt;6,"",ROUND(100*(K186*Parâmetros!$B$12+L186*Parâmetros!$B$13+M186*Parâmetros!$B$14+N186*Parâmetros!$B$15+O186*Parâmetros!$B$16+P186*Parâmetros!$B$17)/(5*SUM(Parâmetros!$B$12:$B$17)),0))</f>
        <v/>
      </c>
      <c r="R186" s="9" t="str">
        <f aca="false">IF(Q186="","",IF(Q186&gt;=Parâmetros!$B$20,"Modelar já",IF(Q186&gt;=Parâmetros!$B$21,"Monitorar","Descartar")))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7"/>
      <c r="J187" s="6"/>
      <c r="K187" s="8" t="str">
        <f aca="false">IF(D187="","",IF(D187&gt;=Parâmetros!$C$7,5,IF(D187&gt;=Parâmetros!$C$6,4,IF(D187&gt;=Parâmetros!$C$5,3,IF(D187&gt;=Parâmetros!$C$4,2,1)))))</f>
        <v/>
      </c>
      <c r="L187" s="8" t="str">
        <f aca="false">IF(E187="","",IF(E187&gt;=Parâmetros!$D$7,5,IF(E187&gt;=Parâmetros!$D$6,4,IF(E187&gt;=Parâmetros!$D$5,3,IF(E187&gt;=Parâmetros!$D$4,2,1)))))</f>
        <v/>
      </c>
      <c r="M187" s="8" t="str">
        <f aca="false">IF(F187="","",IF(F187&gt;=Parâmetros!$E$7,5,IF(F187&gt;=Parâmetros!$E$6,4,IF(F187&gt;=Parâmetros!$E$5,3,IF(F187&gt;=Parâmetros!$E$4,2,1)))))</f>
        <v/>
      </c>
      <c r="N187" s="8" t="str">
        <f aca="false">IF(G187="","",IF(G187&gt;=Parâmetros!$F$7,5,IF(G187&gt;=Parâmetros!$F$6,4,IF(G187&gt;=Parâmetros!$F$5,3,IF(G187&gt;=Parâmetros!$F$4,2,1)))))</f>
        <v/>
      </c>
      <c r="O187" s="8" t="str">
        <f aca="false">IF(H187="","",IF(H187="Sim",IF(I187&gt;=Parâmetros!$G$4,5,4),IF(I187&gt;=Parâmetros!$G$4,3,2)))</f>
        <v/>
      </c>
      <c r="P187" s="8" t="str">
        <f aca="false">IF(J187="","",J187)</f>
        <v/>
      </c>
      <c r="Q187" s="8" t="str">
        <f aca="false">IF(COUNT(K187:P187)&lt;6,"",ROUND(100*(K187*Parâmetros!$B$12+L187*Parâmetros!$B$13+M187*Parâmetros!$B$14+N187*Parâmetros!$B$15+O187*Parâmetros!$B$16+P187*Parâmetros!$B$17)/(5*SUM(Parâmetros!$B$12:$B$17)),0))</f>
        <v/>
      </c>
      <c r="R187" s="9" t="str">
        <f aca="false">IF(Q187="","",IF(Q187&gt;=Parâmetros!$B$20,"Modelar já",IF(Q187&gt;=Parâmetros!$B$21,"Monitorar","Descartar")))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7"/>
      <c r="J188" s="6"/>
      <c r="K188" s="8" t="str">
        <f aca="false">IF(D188="","",IF(D188&gt;=Parâmetros!$C$7,5,IF(D188&gt;=Parâmetros!$C$6,4,IF(D188&gt;=Parâmetros!$C$5,3,IF(D188&gt;=Parâmetros!$C$4,2,1)))))</f>
        <v/>
      </c>
      <c r="L188" s="8" t="str">
        <f aca="false">IF(E188="","",IF(E188&gt;=Parâmetros!$D$7,5,IF(E188&gt;=Parâmetros!$D$6,4,IF(E188&gt;=Parâmetros!$D$5,3,IF(E188&gt;=Parâmetros!$D$4,2,1)))))</f>
        <v/>
      </c>
      <c r="M188" s="8" t="str">
        <f aca="false">IF(F188="","",IF(F188&gt;=Parâmetros!$E$7,5,IF(F188&gt;=Parâmetros!$E$6,4,IF(F188&gt;=Parâmetros!$E$5,3,IF(F188&gt;=Parâmetros!$E$4,2,1)))))</f>
        <v/>
      </c>
      <c r="N188" s="8" t="str">
        <f aca="false">IF(G188="","",IF(G188&gt;=Parâmetros!$F$7,5,IF(G188&gt;=Parâmetros!$F$6,4,IF(G188&gt;=Parâmetros!$F$5,3,IF(G188&gt;=Parâmetros!$F$4,2,1)))))</f>
        <v/>
      </c>
      <c r="O188" s="8" t="str">
        <f aca="false">IF(H188="","",IF(H188="Sim",IF(I188&gt;=Parâmetros!$G$4,5,4),IF(I188&gt;=Parâmetros!$G$4,3,2)))</f>
        <v/>
      </c>
      <c r="P188" s="8" t="str">
        <f aca="false">IF(J188="","",J188)</f>
        <v/>
      </c>
      <c r="Q188" s="8" t="str">
        <f aca="false">IF(COUNT(K188:P188)&lt;6,"",ROUND(100*(K188*Parâmetros!$B$12+L188*Parâmetros!$B$13+M188*Parâmetros!$B$14+N188*Parâmetros!$B$15+O188*Parâmetros!$B$16+P188*Parâmetros!$B$17)/(5*SUM(Parâmetros!$B$12:$B$17)),0))</f>
        <v/>
      </c>
      <c r="R188" s="9" t="str">
        <f aca="false">IF(Q188="","",IF(Q188&gt;=Parâmetros!$B$20,"Modelar já",IF(Q188&gt;=Parâmetros!$B$21,"Monitorar","Descartar")))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7"/>
      <c r="J189" s="6"/>
      <c r="K189" s="8" t="str">
        <f aca="false">IF(D189="","",IF(D189&gt;=Parâmetros!$C$7,5,IF(D189&gt;=Parâmetros!$C$6,4,IF(D189&gt;=Parâmetros!$C$5,3,IF(D189&gt;=Parâmetros!$C$4,2,1)))))</f>
        <v/>
      </c>
      <c r="L189" s="8" t="str">
        <f aca="false">IF(E189="","",IF(E189&gt;=Parâmetros!$D$7,5,IF(E189&gt;=Parâmetros!$D$6,4,IF(E189&gt;=Parâmetros!$D$5,3,IF(E189&gt;=Parâmetros!$D$4,2,1)))))</f>
        <v/>
      </c>
      <c r="M189" s="8" t="str">
        <f aca="false">IF(F189="","",IF(F189&gt;=Parâmetros!$E$7,5,IF(F189&gt;=Parâmetros!$E$6,4,IF(F189&gt;=Parâmetros!$E$5,3,IF(F189&gt;=Parâmetros!$E$4,2,1)))))</f>
        <v/>
      </c>
      <c r="N189" s="8" t="str">
        <f aca="false">IF(G189="","",IF(G189&gt;=Parâmetros!$F$7,5,IF(G189&gt;=Parâmetros!$F$6,4,IF(G189&gt;=Parâmetros!$F$5,3,IF(G189&gt;=Parâmetros!$F$4,2,1)))))</f>
        <v/>
      </c>
      <c r="O189" s="8" t="str">
        <f aca="false">IF(H189="","",IF(H189="Sim",IF(I189&gt;=Parâmetros!$G$4,5,4),IF(I189&gt;=Parâmetros!$G$4,3,2)))</f>
        <v/>
      </c>
      <c r="P189" s="8" t="str">
        <f aca="false">IF(J189="","",J189)</f>
        <v/>
      </c>
      <c r="Q189" s="8" t="str">
        <f aca="false">IF(COUNT(K189:P189)&lt;6,"",ROUND(100*(K189*Parâmetros!$B$12+L189*Parâmetros!$B$13+M189*Parâmetros!$B$14+N189*Parâmetros!$B$15+O189*Parâmetros!$B$16+P189*Parâmetros!$B$17)/(5*SUM(Parâmetros!$B$12:$B$17)),0))</f>
        <v/>
      </c>
      <c r="R189" s="9" t="str">
        <f aca="false">IF(Q189="","",IF(Q189&gt;=Parâmetros!$B$20,"Modelar já",IF(Q189&gt;=Parâmetros!$B$21,"Monitorar","Descartar")))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7"/>
      <c r="J190" s="6"/>
      <c r="K190" s="8" t="str">
        <f aca="false">IF(D190="","",IF(D190&gt;=Parâmetros!$C$7,5,IF(D190&gt;=Parâmetros!$C$6,4,IF(D190&gt;=Parâmetros!$C$5,3,IF(D190&gt;=Parâmetros!$C$4,2,1)))))</f>
        <v/>
      </c>
      <c r="L190" s="8" t="str">
        <f aca="false">IF(E190="","",IF(E190&gt;=Parâmetros!$D$7,5,IF(E190&gt;=Parâmetros!$D$6,4,IF(E190&gt;=Parâmetros!$D$5,3,IF(E190&gt;=Parâmetros!$D$4,2,1)))))</f>
        <v/>
      </c>
      <c r="M190" s="8" t="str">
        <f aca="false">IF(F190="","",IF(F190&gt;=Parâmetros!$E$7,5,IF(F190&gt;=Parâmetros!$E$6,4,IF(F190&gt;=Parâmetros!$E$5,3,IF(F190&gt;=Parâmetros!$E$4,2,1)))))</f>
        <v/>
      </c>
      <c r="N190" s="8" t="str">
        <f aca="false">IF(G190="","",IF(G190&gt;=Parâmetros!$F$7,5,IF(G190&gt;=Parâmetros!$F$6,4,IF(G190&gt;=Parâmetros!$F$5,3,IF(G190&gt;=Parâmetros!$F$4,2,1)))))</f>
        <v/>
      </c>
      <c r="O190" s="8" t="str">
        <f aca="false">IF(H190="","",IF(H190="Sim",IF(I190&gt;=Parâmetros!$G$4,5,4),IF(I190&gt;=Parâmetros!$G$4,3,2)))</f>
        <v/>
      </c>
      <c r="P190" s="8" t="str">
        <f aca="false">IF(J190="","",J190)</f>
        <v/>
      </c>
      <c r="Q190" s="8" t="str">
        <f aca="false">IF(COUNT(K190:P190)&lt;6,"",ROUND(100*(K190*Parâmetros!$B$12+L190*Parâmetros!$B$13+M190*Parâmetros!$B$14+N190*Parâmetros!$B$15+O190*Parâmetros!$B$16+P190*Parâmetros!$B$17)/(5*SUM(Parâmetros!$B$12:$B$17)),0))</f>
        <v/>
      </c>
      <c r="R190" s="9" t="str">
        <f aca="false">IF(Q190="","",IF(Q190&gt;=Parâmetros!$B$20,"Modelar já",IF(Q190&gt;=Parâmetros!$B$21,"Monitorar","Descartar")))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7"/>
      <c r="J191" s="6"/>
      <c r="K191" s="8" t="str">
        <f aca="false">IF(D191="","",IF(D191&gt;=Parâmetros!$C$7,5,IF(D191&gt;=Parâmetros!$C$6,4,IF(D191&gt;=Parâmetros!$C$5,3,IF(D191&gt;=Parâmetros!$C$4,2,1)))))</f>
        <v/>
      </c>
      <c r="L191" s="8" t="str">
        <f aca="false">IF(E191="","",IF(E191&gt;=Parâmetros!$D$7,5,IF(E191&gt;=Parâmetros!$D$6,4,IF(E191&gt;=Parâmetros!$D$5,3,IF(E191&gt;=Parâmetros!$D$4,2,1)))))</f>
        <v/>
      </c>
      <c r="M191" s="8" t="str">
        <f aca="false">IF(F191="","",IF(F191&gt;=Parâmetros!$E$7,5,IF(F191&gt;=Parâmetros!$E$6,4,IF(F191&gt;=Parâmetros!$E$5,3,IF(F191&gt;=Parâmetros!$E$4,2,1)))))</f>
        <v/>
      </c>
      <c r="N191" s="8" t="str">
        <f aca="false">IF(G191="","",IF(G191&gt;=Parâmetros!$F$7,5,IF(G191&gt;=Parâmetros!$F$6,4,IF(G191&gt;=Parâmetros!$F$5,3,IF(G191&gt;=Parâmetros!$F$4,2,1)))))</f>
        <v/>
      </c>
      <c r="O191" s="8" t="str">
        <f aca="false">IF(H191="","",IF(H191="Sim",IF(I191&gt;=Parâmetros!$G$4,5,4),IF(I191&gt;=Parâmetros!$G$4,3,2)))</f>
        <v/>
      </c>
      <c r="P191" s="8" t="str">
        <f aca="false">IF(J191="","",J191)</f>
        <v/>
      </c>
      <c r="Q191" s="8" t="str">
        <f aca="false">IF(COUNT(K191:P191)&lt;6,"",ROUND(100*(K191*Parâmetros!$B$12+L191*Parâmetros!$B$13+M191*Parâmetros!$B$14+N191*Parâmetros!$B$15+O191*Parâmetros!$B$16+P191*Parâmetros!$B$17)/(5*SUM(Parâmetros!$B$12:$B$17)),0))</f>
        <v/>
      </c>
      <c r="R191" s="9" t="str">
        <f aca="false">IF(Q191="","",IF(Q191&gt;=Parâmetros!$B$20,"Modelar já",IF(Q191&gt;=Parâmetros!$B$21,"Monitorar","Descartar")))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7"/>
      <c r="J192" s="6"/>
      <c r="K192" s="8" t="str">
        <f aca="false">IF(D192="","",IF(D192&gt;=Parâmetros!$C$7,5,IF(D192&gt;=Parâmetros!$C$6,4,IF(D192&gt;=Parâmetros!$C$5,3,IF(D192&gt;=Parâmetros!$C$4,2,1)))))</f>
        <v/>
      </c>
      <c r="L192" s="8" t="str">
        <f aca="false">IF(E192="","",IF(E192&gt;=Parâmetros!$D$7,5,IF(E192&gt;=Parâmetros!$D$6,4,IF(E192&gt;=Parâmetros!$D$5,3,IF(E192&gt;=Parâmetros!$D$4,2,1)))))</f>
        <v/>
      </c>
      <c r="M192" s="8" t="str">
        <f aca="false">IF(F192="","",IF(F192&gt;=Parâmetros!$E$7,5,IF(F192&gt;=Parâmetros!$E$6,4,IF(F192&gt;=Parâmetros!$E$5,3,IF(F192&gt;=Parâmetros!$E$4,2,1)))))</f>
        <v/>
      </c>
      <c r="N192" s="8" t="str">
        <f aca="false">IF(G192="","",IF(G192&gt;=Parâmetros!$F$7,5,IF(G192&gt;=Parâmetros!$F$6,4,IF(G192&gt;=Parâmetros!$F$5,3,IF(G192&gt;=Parâmetros!$F$4,2,1)))))</f>
        <v/>
      </c>
      <c r="O192" s="8" t="str">
        <f aca="false">IF(H192="","",IF(H192="Sim",IF(I192&gt;=Parâmetros!$G$4,5,4),IF(I192&gt;=Parâmetros!$G$4,3,2)))</f>
        <v/>
      </c>
      <c r="P192" s="8" t="str">
        <f aca="false">IF(J192="","",J192)</f>
        <v/>
      </c>
      <c r="Q192" s="8" t="str">
        <f aca="false">IF(COUNT(K192:P192)&lt;6,"",ROUND(100*(K192*Parâmetros!$B$12+L192*Parâmetros!$B$13+M192*Parâmetros!$B$14+N192*Parâmetros!$B$15+O192*Parâmetros!$B$16+P192*Parâmetros!$B$17)/(5*SUM(Parâmetros!$B$12:$B$17)),0))</f>
        <v/>
      </c>
      <c r="R192" s="9" t="str">
        <f aca="false">IF(Q192="","",IF(Q192&gt;=Parâmetros!$B$20,"Modelar já",IF(Q192&gt;=Parâmetros!$B$21,"Monitorar","Descartar")))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7"/>
      <c r="J193" s="6"/>
      <c r="K193" s="8" t="str">
        <f aca="false">IF(D193="","",IF(D193&gt;=Parâmetros!$C$7,5,IF(D193&gt;=Parâmetros!$C$6,4,IF(D193&gt;=Parâmetros!$C$5,3,IF(D193&gt;=Parâmetros!$C$4,2,1)))))</f>
        <v/>
      </c>
      <c r="L193" s="8" t="str">
        <f aca="false">IF(E193="","",IF(E193&gt;=Parâmetros!$D$7,5,IF(E193&gt;=Parâmetros!$D$6,4,IF(E193&gt;=Parâmetros!$D$5,3,IF(E193&gt;=Parâmetros!$D$4,2,1)))))</f>
        <v/>
      </c>
      <c r="M193" s="8" t="str">
        <f aca="false">IF(F193="","",IF(F193&gt;=Parâmetros!$E$7,5,IF(F193&gt;=Parâmetros!$E$6,4,IF(F193&gt;=Parâmetros!$E$5,3,IF(F193&gt;=Parâmetros!$E$4,2,1)))))</f>
        <v/>
      </c>
      <c r="N193" s="8" t="str">
        <f aca="false">IF(G193="","",IF(G193&gt;=Parâmetros!$F$7,5,IF(G193&gt;=Parâmetros!$F$6,4,IF(G193&gt;=Parâmetros!$F$5,3,IF(G193&gt;=Parâmetros!$F$4,2,1)))))</f>
        <v/>
      </c>
      <c r="O193" s="8" t="str">
        <f aca="false">IF(H193="","",IF(H193="Sim",IF(I193&gt;=Parâmetros!$G$4,5,4),IF(I193&gt;=Parâmetros!$G$4,3,2)))</f>
        <v/>
      </c>
      <c r="P193" s="8" t="str">
        <f aca="false">IF(J193="","",J193)</f>
        <v/>
      </c>
      <c r="Q193" s="8" t="str">
        <f aca="false">IF(COUNT(K193:P193)&lt;6,"",ROUND(100*(K193*Parâmetros!$B$12+L193*Parâmetros!$B$13+M193*Parâmetros!$B$14+N193*Parâmetros!$B$15+O193*Parâmetros!$B$16+P193*Parâmetros!$B$17)/(5*SUM(Parâmetros!$B$12:$B$17)),0))</f>
        <v/>
      </c>
      <c r="R193" s="9" t="str">
        <f aca="false">IF(Q193="","",IF(Q193&gt;=Parâmetros!$B$20,"Modelar já",IF(Q193&gt;=Parâmetros!$B$21,"Monitorar","Descartar")))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7"/>
      <c r="J194" s="6"/>
      <c r="K194" s="8" t="str">
        <f aca="false">IF(D194="","",IF(D194&gt;=Parâmetros!$C$7,5,IF(D194&gt;=Parâmetros!$C$6,4,IF(D194&gt;=Parâmetros!$C$5,3,IF(D194&gt;=Parâmetros!$C$4,2,1)))))</f>
        <v/>
      </c>
      <c r="L194" s="8" t="str">
        <f aca="false">IF(E194="","",IF(E194&gt;=Parâmetros!$D$7,5,IF(E194&gt;=Parâmetros!$D$6,4,IF(E194&gt;=Parâmetros!$D$5,3,IF(E194&gt;=Parâmetros!$D$4,2,1)))))</f>
        <v/>
      </c>
      <c r="M194" s="8" t="str">
        <f aca="false">IF(F194="","",IF(F194&gt;=Parâmetros!$E$7,5,IF(F194&gt;=Parâmetros!$E$6,4,IF(F194&gt;=Parâmetros!$E$5,3,IF(F194&gt;=Parâmetros!$E$4,2,1)))))</f>
        <v/>
      </c>
      <c r="N194" s="8" t="str">
        <f aca="false">IF(G194="","",IF(G194&gt;=Parâmetros!$F$7,5,IF(G194&gt;=Parâmetros!$F$6,4,IF(G194&gt;=Parâmetros!$F$5,3,IF(G194&gt;=Parâmetros!$F$4,2,1)))))</f>
        <v/>
      </c>
      <c r="O194" s="8" t="str">
        <f aca="false">IF(H194="","",IF(H194="Sim",IF(I194&gt;=Parâmetros!$G$4,5,4),IF(I194&gt;=Parâmetros!$G$4,3,2)))</f>
        <v/>
      </c>
      <c r="P194" s="8" t="str">
        <f aca="false">IF(J194="","",J194)</f>
        <v/>
      </c>
      <c r="Q194" s="8" t="str">
        <f aca="false">IF(COUNT(K194:P194)&lt;6,"",ROUND(100*(K194*Parâmetros!$B$12+L194*Parâmetros!$B$13+M194*Parâmetros!$B$14+N194*Parâmetros!$B$15+O194*Parâmetros!$B$16+P194*Parâmetros!$B$17)/(5*SUM(Parâmetros!$B$12:$B$17)),0))</f>
        <v/>
      </c>
      <c r="R194" s="9" t="str">
        <f aca="false">IF(Q194="","",IF(Q194&gt;=Parâmetros!$B$20,"Modelar já",IF(Q194&gt;=Parâmetros!$B$21,"Monitorar","Descartar")))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7"/>
      <c r="J195" s="6"/>
      <c r="K195" s="8" t="str">
        <f aca="false">IF(D195="","",IF(D195&gt;=Parâmetros!$C$7,5,IF(D195&gt;=Parâmetros!$C$6,4,IF(D195&gt;=Parâmetros!$C$5,3,IF(D195&gt;=Parâmetros!$C$4,2,1)))))</f>
        <v/>
      </c>
      <c r="L195" s="8" t="str">
        <f aca="false">IF(E195="","",IF(E195&gt;=Parâmetros!$D$7,5,IF(E195&gt;=Parâmetros!$D$6,4,IF(E195&gt;=Parâmetros!$D$5,3,IF(E195&gt;=Parâmetros!$D$4,2,1)))))</f>
        <v/>
      </c>
      <c r="M195" s="8" t="str">
        <f aca="false">IF(F195="","",IF(F195&gt;=Parâmetros!$E$7,5,IF(F195&gt;=Parâmetros!$E$6,4,IF(F195&gt;=Parâmetros!$E$5,3,IF(F195&gt;=Parâmetros!$E$4,2,1)))))</f>
        <v/>
      </c>
      <c r="N195" s="8" t="str">
        <f aca="false">IF(G195="","",IF(G195&gt;=Parâmetros!$F$7,5,IF(G195&gt;=Parâmetros!$F$6,4,IF(G195&gt;=Parâmetros!$F$5,3,IF(G195&gt;=Parâmetros!$F$4,2,1)))))</f>
        <v/>
      </c>
      <c r="O195" s="8" t="str">
        <f aca="false">IF(H195="","",IF(H195="Sim",IF(I195&gt;=Parâmetros!$G$4,5,4),IF(I195&gt;=Parâmetros!$G$4,3,2)))</f>
        <v/>
      </c>
      <c r="P195" s="8" t="str">
        <f aca="false">IF(J195="","",J195)</f>
        <v/>
      </c>
      <c r="Q195" s="8" t="str">
        <f aca="false">IF(COUNT(K195:P195)&lt;6,"",ROUND(100*(K195*Parâmetros!$B$12+L195*Parâmetros!$B$13+M195*Parâmetros!$B$14+N195*Parâmetros!$B$15+O195*Parâmetros!$B$16+P195*Parâmetros!$B$17)/(5*SUM(Parâmetros!$B$12:$B$17)),0))</f>
        <v/>
      </c>
      <c r="R195" s="9" t="str">
        <f aca="false">IF(Q195="","",IF(Q195&gt;=Parâmetros!$B$20,"Modelar já",IF(Q195&gt;=Parâmetros!$B$21,"Monitorar","Descartar")))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7"/>
      <c r="J196" s="6"/>
      <c r="K196" s="8" t="str">
        <f aca="false">IF(D196="","",IF(D196&gt;=Parâmetros!$C$7,5,IF(D196&gt;=Parâmetros!$C$6,4,IF(D196&gt;=Parâmetros!$C$5,3,IF(D196&gt;=Parâmetros!$C$4,2,1)))))</f>
        <v/>
      </c>
      <c r="L196" s="8" t="str">
        <f aca="false">IF(E196="","",IF(E196&gt;=Parâmetros!$D$7,5,IF(E196&gt;=Parâmetros!$D$6,4,IF(E196&gt;=Parâmetros!$D$5,3,IF(E196&gt;=Parâmetros!$D$4,2,1)))))</f>
        <v/>
      </c>
      <c r="M196" s="8" t="str">
        <f aca="false">IF(F196="","",IF(F196&gt;=Parâmetros!$E$7,5,IF(F196&gt;=Parâmetros!$E$6,4,IF(F196&gt;=Parâmetros!$E$5,3,IF(F196&gt;=Parâmetros!$E$4,2,1)))))</f>
        <v/>
      </c>
      <c r="N196" s="8" t="str">
        <f aca="false">IF(G196="","",IF(G196&gt;=Parâmetros!$F$7,5,IF(G196&gt;=Parâmetros!$F$6,4,IF(G196&gt;=Parâmetros!$F$5,3,IF(G196&gt;=Parâmetros!$F$4,2,1)))))</f>
        <v/>
      </c>
      <c r="O196" s="8" t="str">
        <f aca="false">IF(H196="","",IF(H196="Sim",IF(I196&gt;=Parâmetros!$G$4,5,4),IF(I196&gt;=Parâmetros!$G$4,3,2)))</f>
        <v/>
      </c>
      <c r="P196" s="8" t="str">
        <f aca="false">IF(J196="","",J196)</f>
        <v/>
      </c>
      <c r="Q196" s="8" t="str">
        <f aca="false">IF(COUNT(K196:P196)&lt;6,"",ROUND(100*(K196*Parâmetros!$B$12+L196*Parâmetros!$B$13+M196*Parâmetros!$B$14+N196*Parâmetros!$B$15+O196*Parâmetros!$B$16+P196*Parâmetros!$B$17)/(5*SUM(Parâmetros!$B$12:$B$17)),0))</f>
        <v/>
      </c>
      <c r="R196" s="9" t="str">
        <f aca="false">IF(Q196="","",IF(Q196&gt;=Parâmetros!$B$20,"Modelar já",IF(Q196&gt;=Parâmetros!$B$21,"Monitorar","Descartar")))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7"/>
      <c r="J197" s="6"/>
      <c r="K197" s="8" t="str">
        <f aca="false">IF(D197="","",IF(D197&gt;=Parâmetros!$C$7,5,IF(D197&gt;=Parâmetros!$C$6,4,IF(D197&gt;=Parâmetros!$C$5,3,IF(D197&gt;=Parâmetros!$C$4,2,1)))))</f>
        <v/>
      </c>
      <c r="L197" s="8" t="str">
        <f aca="false">IF(E197="","",IF(E197&gt;=Parâmetros!$D$7,5,IF(E197&gt;=Parâmetros!$D$6,4,IF(E197&gt;=Parâmetros!$D$5,3,IF(E197&gt;=Parâmetros!$D$4,2,1)))))</f>
        <v/>
      </c>
      <c r="M197" s="8" t="str">
        <f aca="false">IF(F197="","",IF(F197&gt;=Parâmetros!$E$7,5,IF(F197&gt;=Parâmetros!$E$6,4,IF(F197&gt;=Parâmetros!$E$5,3,IF(F197&gt;=Parâmetros!$E$4,2,1)))))</f>
        <v/>
      </c>
      <c r="N197" s="8" t="str">
        <f aca="false">IF(G197="","",IF(G197&gt;=Parâmetros!$F$7,5,IF(G197&gt;=Parâmetros!$F$6,4,IF(G197&gt;=Parâmetros!$F$5,3,IF(G197&gt;=Parâmetros!$F$4,2,1)))))</f>
        <v/>
      </c>
      <c r="O197" s="8" t="str">
        <f aca="false">IF(H197="","",IF(H197="Sim",IF(I197&gt;=Parâmetros!$G$4,5,4),IF(I197&gt;=Parâmetros!$G$4,3,2)))</f>
        <v/>
      </c>
      <c r="P197" s="8" t="str">
        <f aca="false">IF(J197="","",J197)</f>
        <v/>
      </c>
      <c r="Q197" s="8" t="str">
        <f aca="false">IF(COUNT(K197:P197)&lt;6,"",ROUND(100*(K197*Parâmetros!$B$12+L197*Parâmetros!$B$13+M197*Parâmetros!$B$14+N197*Parâmetros!$B$15+O197*Parâmetros!$B$16+P197*Parâmetros!$B$17)/(5*SUM(Parâmetros!$B$12:$B$17)),0))</f>
        <v/>
      </c>
      <c r="R197" s="9" t="str">
        <f aca="false">IF(Q197="","",IF(Q197&gt;=Parâmetros!$B$20,"Modelar já",IF(Q197&gt;=Parâmetros!$B$21,"Monitorar","Descartar")))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7"/>
      <c r="J198" s="6"/>
      <c r="K198" s="8" t="str">
        <f aca="false">IF(D198="","",IF(D198&gt;=Parâmetros!$C$7,5,IF(D198&gt;=Parâmetros!$C$6,4,IF(D198&gt;=Parâmetros!$C$5,3,IF(D198&gt;=Parâmetros!$C$4,2,1)))))</f>
        <v/>
      </c>
      <c r="L198" s="8" t="str">
        <f aca="false">IF(E198="","",IF(E198&gt;=Parâmetros!$D$7,5,IF(E198&gt;=Parâmetros!$D$6,4,IF(E198&gt;=Parâmetros!$D$5,3,IF(E198&gt;=Parâmetros!$D$4,2,1)))))</f>
        <v/>
      </c>
      <c r="M198" s="8" t="str">
        <f aca="false">IF(F198="","",IF(F198&gt;=Parâmetros!$E$7,5,IF(F198&gt;=Parâmetros!$E$6,4,IF(F198&gt;=Parâmetros!$E$5,3,IF(F198&gt;=Parâmetros!$E$4,2,1)))))</f>
        <v/>
      </c>
      <c r="N198" s="8" t="str">
        <f aca="false">IF(G198="","",IF(G198&gt;=Parâmetros!$F$7,5,IF(G198&gt;=Parâmetros!$F$6,4,IF(G198&gt;=Parâmetros!$F$5,3,IF(G198&gt;=Parâmetros!$F$4,2,1)))))</f>
        <v/>
      </c>
      <c r="O198" s="8" t="str">
        <f aca="false">IF(H198="","",IF(H198="Sim",IF(I198&gt;=Parâmetros!$G$4,5,4),IF(I198&gt;=Parâmetros!$G$4,3,2)))</f>
        <v/>
      </c>
      <c r="P198" s="8" t="str">
        <f aca="false">IF(J198="","",J198)</f>
        <v/>
      </c>
      <c r="Q198" s="8" t="str">
        <f aca="false">IF(COUNT(K198:P198)&lt;6,"",ROUND(100*(K198*Parâmetros!$B$12+L198*Parâmetros!$B$13+M198*Parâmetros!$B$14+N198*Parâmetros!$B$15+O198*Parâmetros!$B$16+P198*Parâmetros!$B$17)/(5*SUM(Parâmetros!$B$12:$B$17)),0))</f>
        <v/>
      </c>
      <c r="R198" s="9" t="str">
        <f aca="false">IF(Q198="","",IF(Q198&gt;=Parâmetros!$B$20,"Modelar já",IF(Q198&gt;=Parâmetros!$B$21,"Monitorar","Descartar")))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7"/>
      <c r="J199" s="6"/>
      <c r="K199" s="8" t="str">
        <f aca="false">IF(D199="","",IF(D199&gt;=Parâmetros!$C$7,5,IF(D199&gt;=Parâmetros!$C$6,4,IF(D199&gt;=Parâmetros!$C$5,3,IF(D199&gt;=Parâmetros!$C$4,2,1)))))</f>
        <v/>
      </c>
      <c r="L199" s="8" t="str">
        <f aca="false">IF(E199="","",IF(E199&gt;=Parâmetros!$D$7,5,IF(E199&gt;=Parâmetros!$D$6,4,IF(E199&gt;=Parâmetros!$D$5,3,IF(E199&gt;=Parâmetros!$D$4,2,1)))))</f>
        <v/>
      </c>
      <c r="M199" s="8" t="str">
        <f aca="false">IF(F199="","",IF(F199&gt;=Parâmetros!$E$7,5,IF(F199&gt;=Parâmetros!$E$6,4,IF(F199&gt;=Parâmetros!$E$5,3,IF(F199&gt;=Parâmetros!$E$4,2,1)))))</f>
        <v/>
      </c>
      <c r="N199" s="8" t="str">
        <f aca="false">IF(G199="","",IF(G199&gt;=Parâmetros!$F$7,5,IF(G199&gt;=Parâmetros!$F$6,4,IF(G199&gt;=Parâmetros!$F$5,3,IF(G199&gt;=Parâmetros!$F$4,2,1)))))</f>
        <v/>
      </c>
      <c r="O199" s="8" t="str">
        <f aca="false">IF(H199="","",IF(H199="Sim",IF(I199&gt;=Parâmetros!$G$4,5,4),IF(I199&gt;=Parâmetros!$G$4,3,2)))</f>
        <v/>
      </c>
      <c r="P199" s="8" t="str">
        <f aca="false">IF(J199="","",J199)</f>
        <v/>
      </c>
      <c r="Q199" s="8" t="str">
        <f aca="false">IF(COUNT(K199:P199)&lt;6,"",ROUND(100*(K199*Parâmetros!$B$12+L199*Parâmetros!$B$13+M199*Parâmetros!$B$14+N199*Parâmetros!$B$15+O199*Parâmetros!$B$16+P199*Parâmetros!$B$17)/(5*SUM(Parâmetros!$B$12:$B$17)),0))</f>
        <v/>
      </c>
      <c r="R199" s="9" t="str">
        <f aca="false">IF(Q199="","",IF(Q199&gt;=Parâmetros!$B$20,"Modelar já",IF(Q199&gt;=Parâmetros!$B$21,"Monitorar","Descartar")))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7"/>
      <c r="J200" s="6"/>
      <c r="K200" s="8" t="str">
        <f aca="false">IF(D200="","",IF(D200&gt;=Parâmetros!$C$7,5,IF(D200&gt;=Parâmetros!$C$6,4,IF(D200&gt;=Parâmetros!$C$5,3,IF(D200&gt;=Parâmetros!$C$4,2,1)))))</f>
        <v/>
      </c>
      <c r="L200" s="8" t="str">
        <f aca="false">IF(E200="","",IF(E200&gt;=Parâmetros!$D$7,5,IF(E200&gt;=Parâmetros!$D$6,4,IF(E200&gt;=Parâmetros!$D$5,3,IF(E200&gt;=Parâmetros!$D$4,2,1)))))</f>
        <v/>
      </c>
      <c r="M200" s="8" t="str">
        <f aca="false">IF(F200="","",IF(F200&gt;=Parâmetros!$E$7,5,IF(F200&gt;=Parâmetros!$E$6,4,IF(F200&gt;=Parâmetros!$E$5,3,IF(F200&gt;=Parâmetros!$E$4,2,1)))))</f>
        <v/>
      </c>
      <c r="N200" s="8" t="str">
        <f aca="false">IF(G200="","",IF(G200&gt;=Parâmetros!$F$7,5,IF(G200&gt;=Parâmetros!$F$6,4,IF(G200&gt;=Parâmetros!$F$5,3,IF(G200&gt;=Parâmetros!$F$4,2,1)))))</f>
        <v/>
      </c>
      <c r="O200" s="8" t="str">
        <f aca="false">IF(H200="","",IF(H200="Sim",IF(I200&gt;=Parâmetros!$G$4,5,4),IF(I200&gt;=Parâmetros!$G$4,3,2)))</f>
        <v/>
      </c>
      <c r="P200" s="8" t="str">
        <f aca="false">IF(J200="","",J200)</f>
        <v/>
      </c>
      <c r="Q200" s="8" t="str">
        <f aca="false">IF(COUNT(K200:P200)&lt;6,"",ROUND(100*(K200*Parâmetros!$B$12+L200*Parâmetros!$B$13+M200*Parâmetros!$B$14+N200*Parâmetros!$B$15+O200*Parâmetros!$B$16+P200*Parâmetros!$B$17)/(5*SUM(Parâmetros!$B$12:$B$17)),0))</f>
        <v/>
      </c>
      <c r="R200" s="9" t="str">
        <f aca="false">IF(Q200="","",IF(Q200&gt;=Parâmetros!$B$20,"Modelar já",IF(Q200&gt;=Parâmetros!$B$21,"Monitorar","Descartar")))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7"/>
      <c r="J201" s="6"/>
      <c r="K201" s="8" t="str">
        <f aca="false">IF(D201="","",IF(D201&gt;=Parâmetros!$C$7,5,IF(D201&gt;=Parâmetros!$C$6,4,IF(D201&gt;=Parâmetros!$C$5,3,IF(D201&gt;=Parâmetros!$C$4,2,1)))))</f>
        <v/>
      </c>
      <c r="L201" s="8" t="str">
        <f aca="false">IF(E201="","",IF(E201&gt;=Parâmetros!$D$7,5,IF(E201&gt;=Parâmetros!$D$6,4,IF(E201&gt;=Parâmetros!$D$5,3,IF(E201&gt;=Parâmetros!$D$4,2,1)))))</f>
        <v/>
      </c>
      <c r="M201" s="8" t="str">
        <f aca="false">IF(F201="","",IF(F201&gt;=Parâmetros!$E$7,5,IF(F201&gt;=Parâmetros!$E$6,4,IF(F201&gt;=Parâmetros!$E$5,3,IF(F201&gt;=Parâmetros!$E$4,2,1)))))</f>
        <v/>
      </c>
      <c r="N201" s="8" t="str">
        <f aca="false">IF(G201="","",IF(G201&gt;=Parâmetros!$F$7,5,IF(G201&gt;=Parâmetros!$F$6,4,IF(G201&gt;=Parâmetros!$F$5,3,IF(G201&gt;=Parâmetros!$F$4,2,1)))))</f>
        <v/>
      </c>
      <c r="O201" s="8" t="str">
        <f aca="false">IF(H201="","",IF(H201="Sim",IF(I201&gt;=Parâmetros!$G$4,5,4),IF(I201&gt;=Parâmetros!$G$4,3,2)))</f>
        <v/>
      </c>
      <c r="P201" s="8" t="str">
        <f aca="false">IF(J201="","",J201)</f>
        <v/>
      </c>
      <c r="Q201" s="8" t="str">
        <f aca="false">IF(COUNT(K201:P201)&lt;6,"",ROUND(100*(K201*Parâmetros!$B$12+L201*Parâmetros!$B$13+M201*Parâmetros!$B$14+N201*Parâmetros!$B$15+O201*Parâmetros!$B$16+P201*Parâmetros!$B$17)/(5*SUM(Parâmetros!$B$12:$B$17)),0))</f>
        <v/>
      </c>
      <c r="R201" s="9" t="str">
        <f aca="false">IF(Q201="","",IF(Q201&gt;=Parâmetros!$B$20,"Modelar já",IF(Q201&gt;=Parâmetros!$B$21,"Monitorar","Descartar")))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7"/>
      <c r="J202" s="6"/>
      <c r="K202" s="8" t="str">
        <f aca="false">IF(D202="","",IF(D202&gt;=Parâmetros!$C$7,5,IF(D202&gt;=Parâmetros!$C$6,4,IF(D202&gt;=Parâmetros!$C$5,3,IF(D202&gt;=Parâmetros!$C$4,2,1)))))</f>
        <v/>
      </c>
      <c r="L202" s="8" t="str">
        <f aca="false">IF(E202="","",IF(E202&gt;=Parâmetros!$D$7,5,IF(E202&gt;=Parâmetros!$D$6,4,IF(E202&gt;=Parâmetros!$D$5,3,IF(E202&gt;=Parâmetros!$D$4,2,1)))))</f>
        <v/>
      </c>
      <c r="M202" s="8" t="str">
        <f aca="false">IF(F202="","",IF(F202&gt;=Parâmetros!$E$7,5,IF(F202&gt;=Parâmetros!$E$6,4,IF(F202&gt;=Parâmetros!$E$5,3,IF(F202&gt;=Parâmetros!$E$4,2,1)))))</f>
        <v/>
      </c>
      <c r="N202" s="8" t="str">
        <f aca="false">IF(G202="","",IF(G202&gt;=Parâmetros!$F$7,5,IF(G202&gt;=Parâmetros!$F$6,4,IF(G202&gt;=Parâmetros!$F$5,3,IF(G202&gt;=Parâmetros!$F$4,2,1)))))</f>
        <v/>
      </c>
      <c r="O202" s="8" t="str">
        <f aca="false">IF(H202="","",IF(H202="Sim",IF(I202&gt;=Parâmetros!$G$4,5,4),IF(I202&gt;=Parâmetros!$G$4,3,2)))</f>
        <v/>
      </c>
      <c r="P202" s="8" t="str">
        <f aca="false">IF(J202="","",J202)</f>
        <v/>
      </c>
      <c r="Q202" s="8" t="str">
        <f aca="false">IF(COUNT(K202:P202)&lt;6,"",ROUND(100*(K202*Parâmetros!$B$12+L202*Parâmetros!$B$13+M202*Parâmetros!$B$14+N202*Parâmetros!$B$15+O202*Parâmetros!$B$16+P202*Parâmetros!$B$17)/(5*SUM(Parâmetros!$B$12:$B$17)),0))</f>
        <v/>
      </c>
      <c r="R202" s="9" t="str">
        <f aca="false">IF(Q202="","",IF(Q202&gt;=Parâmetros!$B$20,"Modelar já",IF(Q202&gt;=Parâmetros!$B$21,"Monitorar","Descartar")))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7"/>
      <c r="J203" s="6"/>
      <c r="K203" s="8" t="str">
        <f aca="false">IF(D203="","",IF(D203&gt;=Parâmetros!$C$7,5,IF(D203&gt;=Parâmetros!$C$6,4,IF(D203&gt;=Parâmetros!$C$5,3,IF(D203&gt;=Parâmetros!$C$4,2,1)))))</f>
        <v/>
      </c>
      <c r="L203" s="8" t="str">
        <f aca="false">IF(E203="","",IF(E203&gt;=Parâmetros!$D$7,5,IF(E203&gt;=Parâmetros!$D$6,4,IF(E203&gt;=Parâmetros!$D$5,3,IF(E203&gt;=Parâmetros!$D$4,2,1)))))</f>
        <v/>
      </c>
      <c r="M203" s="8" t="str">
        <f aca="false">IF(F203="","",IF(F203&gt;=Parâmetros!$E$7,5,IF(F203&gt;=Parâmetros!$E$6,4,IF(F203&gt;=Parâmetros!$E$5,3,IF(F203&gt;=Parâmetros!$E$4,2,1)))))</f>
        <v/>
      </c>
      <c r="N203" s="8" t="str">
        <f aca="false">IF(G203="","",IF(G203&gt;=Parâmetros!$F$7,5,IF(G203&gt;=Parâmetros!$F$6,4,IF(G203&gt;=Parâmetros!$F$5,3,IF(G203&gt;=Parâmetros!$F$4,2,1)))))</f>
        <v/>
      </c>
      <c r="O203" s="8" t="str">
        <f aca="false">IF(H203="","",IF(H203="Sim",IF(I203&gt;=Parâmetros!$G$4,5,4),IF(I203&gt;=Parâmetros!$G$4,3,2)))</f>
        <v/>
      </c>
      <c r="P203" s="8" t="str">
        <f aca="false">IF(J203="","",J203)</f>
        <v/>
      </c>
      <c r="Q203" s="8" t="str">
        <f aca="false">IF(COUNT(K203:P203)&lt;6,"",ROUND(100*(K203*Parâmetros!$B$12+L203*Parâmetros!$B$13+M203*Parâmetros!$B$14+N203*Parâmetros!$B$15+O203*Parâmetros!$B$16+P203*Parâmetros!$B$17)/(5*SUM(Parâmetros!$B$12:$B$17)),0))</f>
        <v/>
      </c>
      <c r="R203" s="9" t="str">
        <f aca="false">IF(Q203="","",IF(Q203&gt;=Parâmetros!$B$20,"Modelar já",IF(Q203&gt;=Parâmetros!$B$21,"Monitorar","Descartar")))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7"/>
      <c r="J204" s="6"/>
      <c r="K204" s="8" t="str">
        <f aca="false">IF(D204="","",IF(D204&gt;=Parâmetros!$C$7,5,IF(D204&gt;=Parâmetros!$C$6,4,IF(D204&gt;=Parâmetros!$C$5,3,IF(D204&gt;=Parâmetros!$C$4,2,1)))))</f>
        <v/>
      </c>
      <c r="L204" s="8" t="str">
        <f aca="false">IF(E204="","",IF(E204&gt;=Parâmetros!$D$7,5,IF(E204&gt;=Parâmetros!$D$6,4,IF(E204&gt;=Parâmetros!$D$5,3,IF(E204&gt;=Parâmetros!$D$4,2,1)))))</f>
        <v/>
      </c>
      <c r="M204" s="8" t="str">
        <f aca="false">IF(F204="","",IF(F204&gt;=Parâmetros!$E$7,5,IF(F204&gt;=Parâmetros!$E$6,4,IF(F204&gt;=Parâmetros!$E$5,3,IF(F204&gt;=Parâmetros!$E$4,2,1)))))</f>
        <v/>
      </c>
      <c r="N204" s="8" t="str">
        <f aca="false">IF(G204="","",IF(G204&gt;=Parâmetros!$F$7,5,IF(G204&gt;=Parâmetros!$F$6,4,IF(G204&gt;=Parâmetros!$F$5,3,IF(G204&gt;=Parâmetros!$F$4,2,1)))))</f>
        <v/>
      </c>
      <c r="O204" s="8" t="str">
        <f aca="false">IF(H204="","",IF(H204="Sim",IF(I204&gt;=Parâmetros!$G$4,5,4),IF(I204&gt;=Parâmetros!$G$4,3,2)))</f>
        <v/>
      </c>
      <c r="P204" s="8" t="str">
        <f aca="false">IF(J204="","",J204)</f>
        <v/>
      </c>
      <c r="Q204" s="8" t="str">
        <f aca="false">IF(COUNT(K204:P204)&lt;6,"",ROUND(100*(K204*Parâmetros!$B$12+L204*Parâmetros!$B$13+M204*Parâmetros!$B$14+N204*Parâmetros!$B$15+O204*Parâmetros!$B$16+P204*Parâmetros!$B$17)/(5*SUM(Parâmetros!$B$12:$B$17)),0))</f>
        <v/>
      </c>
      <c r="R204" s="9" t="str">
        <f aca="false">IF(Q204="","",IF(Q204&gt;=Parâmetros!$B$20,"Modelar já",IF(Q204&gt;=Parâmetros!$B$21,"Monitorar","Descartar")))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7"/>
      <c r="J205" s="6"/>
      <c r="K205" s="8" t="str">
        <f aca="false">IF(D205="","",IF(D205&gt;=Parâmetros!$C$7,5,IF(D205&gt;=Parâmetros!$C$6,4,IF(D205&gt;=Parâmetros!$C$5,3,IF(D205&gt;=Parâmetros!$C$4,2,1)))))</f>
        <v/>
      </c>
      <c r="L205" s="8" t="str">
        <f aca="false">IF(E205="","",IF(E205&gt;=Parâmetros!$D$7,5,IF(E205&gt;=Parâmetros!$D$6,4,IF(E205&gt;=Parâmetros!$D$5,3,IF(E205&gt;=Parâmetros!$D$4,2,1)))))</f>
        <v/>
      </c>
      <c r="M205" s="8" t="str">
        <f aca="false">IF(F205="","",IF(F205&gt;=Parâmetros!$E$7,5,IF(F205&gt;=Parâmetros!$E$6,4,IF(F205&gt;=Parâmetros!$E$5,3,IF(F205&gt;=Parâmetros!$E$4,2,1)))))</f>
        <v/>
      </c>
      <c r="N205" s="8" t="str">
        <f aca="false">IF(G205="","",IF(G205&gt;=Parâmetros!$F$7,5,IF(G205&gt;=Parâmetros!$F$6,4,IF(G205&gt;=Parâmetros!$F$5,3,IF(G205&gt;=Parâmetros!$F$4,2,1)))))</f>
        <v/>
      </c>
      <c r="O205" s="8" t="str">
        <f aca="false">IF(H205="","",IF(H205="Sim",IF(I205&gt;=Parâmetros!$G$4,5,4),IF(I205&gt;=Parâmetros!$G$4,3,2)))</f>
        <v/>
      </c>
      <c r="P205" s="8" t="str">
        <f aca="false">IF(J205="","",J205)</f>
        <v/>
      </c>
      <c r="Q205" s="8" t="str">
        <f aca="false">IF(COUNT(K205:P205)&lt;6,"",ROUND(100*(K205*Parâmetros!$B$12+L205*Parâmetros!$B$13+M205*Parâmetros!$B$14+N205*Parâmetros!$B$15+O205*Parâmetros!$B$16+P205*Parâmetros!$B$17)/(5*SUM(Parâmetros!$B$12:$B$17)),0))</f>
        <v/>
      </c>
      <c r="R205" s="9" t="str">
        <f aca="false">IF(Q205="","",IF(Q205&gt;=Parâmetros!$B$20,"Modelar já",IF(Q205&gt;=Parâmetros!$B$21,"Monitorar","Descartar")))</f>
        <v/>
      </c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7"/>
      <c r="J206" s="6"/>
      <c r="K206" s="8" t="str">
        <f aca="false">IF(D206="","",IF(D206&gt;=Parâmetros!$C$7,5,IF(D206&gt;=Parâmetros!$C$6,4,IF(D206&gt;=Parâmetros!$C$5,3,IF(D206&gt;=Parâmetros!$C$4,2,1)))))</f>
        <v/>
      </c>
      <c r="L206" s="8" t="str">
        <f aca="false">IF(E206="","",IF(E206&gt;=Parâmetros!$D$7,5,IF(E206&gt;=Parâmetros!$D$6,4,IF(E206&gt;=Parâmetros!$D$5,3,IF(E206&gt;=Parâmetros!$D$4,2,1)))))</f>
        <v/>
      </c>
      <c r="M206" s="8" t="str">
        <f aca="false">IF(F206="","",IF(F206&gt;=Parâmetros!$E$7,5,IF(F206&gt;=Parâmetros!$E$6,4,IF(F206&gt;=Parâmetros!$E$5,3,IF(F206&gt;=Parâmetros!$E$4,2,1)))))</f>
        <v/>
      </c>
      <c r="N206" s="8" t="str">
        <f aca="false">IF(G206="","",IF(G206&gt;=Parâmetros!$F$7,5,IF(G206&gt;=Parâmetros!$F$6,4,IF(G206&gt;=Parâmetros!$F$5,3,IF(G206&gt;=Parâmetros!$F$4,2,1)))))</f>
        <v/>
      </c>
      <c r="O206" s="8" t="str">
        <f aca="false">IF(H206="","",IF(H206="Sim",IF(I206&gt;=Parâmetros!$G$4,5,4),IF(I206&gt;=Parâmetros!$G$4,3,2)))</f>
        <v/>
      </c>
      <c r="P206" s="8" t="str">
        <f aca="false">IF(J206="","",J206)</f>
        <v/>
      </c>
      <c r="Q206" s="8" t="str">
        <f aca="false">IF(COUNT(K206:P206)&lt;6,"",ROUND(100*(K206*Parâmetros!$B$12+L206*Parâmetros!$B$13+M206*Parâmetros!$B$14+N206*Parâmetros!$B$15+O206*Parâmetros!$B$16+P206*Parâmetros!$B$17)/(5*SUM(Parâmetros!$B$12:$B$17)),0))</f>
        <v/>
      </c>
      <c r="R206" s="9" t="str">
        <f aca="false">IF(Q206="","",IF(Q206&gt;=Parâmetros!$B$20,"Modelar já",IF(Q206&gt;=Parâmetros!$B$21,"Monitorar","Descartar")))</f>
        <v/>
      </c>
    </row>
  </sheetData>
  <mergeCells count="1">
    <mergeCell ref="A2:R2"/>
  </mergeCells>
  <conditionalFormatting sqref="R7:R206">
    <cfRule type="cellIs" priority="2" operator="equal" aboveAverage="0" equalAverage="0" bottom="0" percent="0" rank="0" text="" dxfId="0">
      <formula>"Modelar já"</formula>
    </cfRule>
    <cfRule type="cellIs" priority="3" operator="equal" aboveAverage="0" equalAverage="0" bottom="0" percent="0" rank="0" text="" dxfId="1">
      <formula>"Monitorar"</formula>
    </cfRule>
    <cfRule type="cellIs" priority="4" operator="equal" aboveAverage="0" equalAverage="0" bottom="0" percent="0" rank="0" text="" dxfId="2">
      <formula>"Descartar"</formula>
    </cfRule>
  </conditionalFormatting>
  <dataValidations count="2">
    <dataValidation allowBlank="true" errorStyle="stop" operator="between" showDropDown="false" showErrorMessage="false" showInputMessage="false" sqref="H7:H206" type="list">
      <formula1>"Sim,Não"</formula1>
      <formula2>0</formula2>
    </dataValidation>
    <dataValidation allowBlank="true" errorStyle="stop" operator="between" showDropDown="false" showErrorMessage="false" showInputMessage="false" sqref="J7:J20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0"/>
  </cols>
  <sheetData>
    <row r="1" customFormat="false" ht="16.15" hidden="false" customHeight="false" outlineLevel="0" collapsed="false">
      <c r="A1" s="10" t="s">
        <v>77</v>
      </c>
    </row>
    <row r="2" customFormat="false" ht="15" hidden="false" customHeight="false" outlineLevel="0" collapsed="false">
      <c r="A2" s="11" t="s">
        <v>78</v>
      </c>
    </row>
    <row r="3" customFormat="false" ht="45" hidden="false" customHeight="true" outlineLevel="0" collapsed="false">
      <c r="A3" s="3" t="s">
        <v>79</v>
      </c>
      <c r="B3" s="3"/>
      <c r="C3" s="3" t="s">
        <v>80</v>
      </c>
      <c r="D3" s="3" t="s">
        <v>81</v>
      </c>
      <c r="E3" s="3" t="s">
        <v>82</v>
      </c>
      <c r="F3" s="3" t="s">
        <v>83</v>
      </c>
      <c r="G3" s="3" t="s">
        <v>84</v>
      </c>
    </row>
    <row r="4" customFormat="false" ht="15" hidden="false" customHeight="false" outlineLevel="0" collapsed="false">
      <c r="A4" s="11" t="s">
        <v>85</v>
      </c>
      <c r="C4" s="12" t="n">
        <v>7</v>
      </c>
      <c r="D4" s="12" t="n">
        <v>3</v>
      </c>
      <c r="E4" s="12" t="n">
        <v>3</v>
      </c>
      <c r="F4" s="12" t="n">
        <v>1</v>
      </c>
      <c r="G4" s="13" t="n">
        <v>27</v>
      </c>
    </row>
    <row r="5" customFormat="false" ht="15" hidden="false" customHeight="false" outlineLevel="0" collapsed="false">
      <c r="A5" s="11" t="s">
        <v>86</v>
      </c>
      <c r="C5" s="12" t="n">
        <v>21</v>
      </c>
      <c r="D5" s="12" t="n">
        <v>10</v>
      </c>
      <c r="E5" s="12" t="n">
        <v>6</v>
      </c>
      <c r="F5" s="12" t="n">
        <v>2</v>
      </c>
    </row>
    <row r="6" customFormat="false" ht="15" hidden="false" customHeight="false" outlineLevel="0" collapsed="false">
      <c r="A6" s="11" t="s">
        <v>87</v>
      </c>
      <c r="C6" s="12" t="n">
        <v>45</v>
      </c>
      <c r="D6" s="12" t="n">
        <v>25</v>
      </c>
      <c r="E6" s="12" t="n">
        <v>10</v>
      </c>
      <c r="F6" s="12" t="n">
        <v>4</v>
      </c>
    </row>
    <row r="7" customFormat="false" ht="15" hidden="false" customHeight="false" outlineLevel="0" collapsed="false">
      <c r="A7" s="11" t="s">
        <v>88</v>
      </c>
      <c r="C7" s="12" t="n">
        <v>90</v>
      </c>
      <c r="D7" s="12" t="n">
        <v>60</v>
      </c>
      <c r="E7" s="12" t="n">
        <v>20</v>
      </c>
      <c r="F7" s="12" t="n">
        <v>8</v>
      </c>
    </row>
    <row r="8" customFormat="false" ht="15" hidden="false" customHeight="false" outlineLevel="0" collapsed="false">
      <c r="A8" s="11" t="s">
        <v>89</v>
      </c>
    </row>
    <row r="10" customFormat="false" ht="15" hidden="false" customHeight="false" outlineLevel="0" collapsed="false">
      <c r="A10" s="14" t="s">
        <v>90</v>
      </c>
    </row>
    <row r="11" customFormat="false" ht="15" hidden="false" customHeight="false" outlineLevel="0" collapsed="false">
      <c r="A11" s="3" t="s">
        <v>91</v>
      </c>
      <c r="B11" s="3" t="s">
        <v>92</v>
      </c>
    </row>
    <row r="12" customFormat="false" ht="15" hidden="false" customHeight="false" outlineLevel="0" collapsed="false">
      <c r="A12" s="11" t="s">
        <v>93</v>
      </c>
      <c r="B12" s="12" t="n">
        <v>3</v>
      </c>
    </row>
    <row r="13" customFormat="false" ht="15" hidden="false" customHeight="false" outlineLevel="0" collapsed="false">
      <c r="A13" s="11" t="s">
        <v>94</v>
      </c>
      <c r="B13" s="12" t="n">
        <v>2</v>
      </c>
    </row>
    <row r="14" customFormat="false" ht="15" hidden="false" customHeight="false" outlineLevel="0" collapsed="false">
      <c r="A14" s="11" t="s">
        <v>95</v>
      </c>
      <c r="B14" s="12" t="n">
        <v>2</v>
      </c>
    </row>
    <row r="15" customFormat="false" ht="15" hidden="false" customHeight="false" outlineLevel="0" collapsed="false">
      <c r="A15" s="11" t="s">
        <v>96</v>
      </c>
      <c r="B15" s="12" t="n">
        <v>2</v>
      </c>
    </row>
    <row r="16" customFormat="false" ht="15" hidden="false" customHeight="false" outlineLevel="0" collapsed="false">
      <c r="A16" s="11" t="s">
        <v>97</v>
      </c>
      <c r="B16" s="12" t="n">
        <v>2</v>
      </c>
    </row>
    <row r="17" customFormat="false" ht="15" hidden="false" customHeight="false" outlineLevel="0" collapsed="false">
      <c r="A17" s="11" t="s">
        <v>4</v>
      </c>
      <c r="B17" s="12" t="n">
        <v>3</v>
      </c>
    </row>
    <row r="19" customFormat="false" ht="15" hidden="false" customHeight="false" outlineLevel="0" collapsed="false">
      <c r="A19" s="14" t="s">
        <v>98</v>
      </c>
    </row>
    <row r="20" customFormat="false" ht="15" hidden="false" customHeight="false" outlineLevel="0" collapsed="false">
      <c r="A20" s="11" t="s">
        <v>99</v>
      </c>
      <c r="B20" s="12" t="n">
        <v>70</v>
      </c>
    </row>
    <row r="21" customFormat="false" ht="15" hidden="false" customHeight="false" outlineLevel="0" collapsed="false">
      <c r="A21" s="11" t="s">
        <v>100</v>
      </c>
      <c r="B21" s="12" t="n">
        <v>50</v>
      </c>
    </row>
    <row r="23" customFormat="false" ht="15" hidden="false" customHeight="false" outlineLevel="0" collapsed="false">
      <c r="A23" s="11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2026-10-13T19:43:15Z</dcterms:created>
  <dc:creator>openpyxl</dc:creator>
  <dc:description/>
  <dc:language>en-US</dc:language>
  <cp:lastModifiedBy/>
  <dcterms:modified xsi:type="dcterms:W3CDTF">2026-10-13T19:43:15Z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